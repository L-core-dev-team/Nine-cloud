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5b0ebb57b64b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签署" sheetId="1" r:id="R333d33026f464efb"/>
    <x:sheet xmlns:r="http://schemas.openxmlformats.org/officeDocument/2006/relationships" name="走查记录" sheetId="2" r:id="R68a75c663b1a447d"/>
    <x:sheet xmlns:r="http://schemas.openxmlformats.org/officeDocument/2006/relationships" name="真实Key短连接" sheetId="3" r:id="Rca4ff632f035478e"/>
    <x:sheet xmlns:r="http://schemas.openxmlformats.org/officeDocument/2006/relationships" name="风险接受与未证项" sheetId="4" r:id="R66bab01af456486b"/>
    <x:sheet xmlns:r="http://schemas.openxmlformats.org/officeDocument/2006/relationships" name="失败行与回归" sheetId="5" r:id="Ra4ddc8bf56ab4d49"/>
  </x:sheets>
</x:workbook>
</file>

<file path=xl/comments1.xml><?xml version="1.0" encoding="utf-8"?>
<x:comments xmlns:x="http://schemas.openxmlformats.org/spreadsheetml/2006/main">
  <x:authors>
    <x:author>贾维斯</x:author>
  </x:authors>
  <x:commentList>
    <x:comment ref="A5" authorId="0">
      <x:text>
        <x:r>
          <x:t>来源：AI_CONFIG_G1_PACKET.json（CI run 36961781663），并经 http://localhost:4173/build-manifest.json 页面核验一致。</x:t>
        </x:r>
      </x:text>
    </x:comment>
    <x:comment ref="A6" authorId="0">
      <x:text>
        <x:r>
          <x:t>来源：AI_CONFIG_G1_PACKET.json 的 build_hash 字段；可用 certutil -hashfile 对 test-results/review-bundle/artifact-manifest.json 复算核对。</x:t>
        </x:r>
      </x:text>
    </x:comment>
    <x:comment ref="A26" authorId="0">
      <x:text>
        <x:r>
          <x:t>统计公式引用「走查记录」工作表 I5:I43；结论填写后此处自动更新。</x:t>
        </x:r>
      </x:text>
    </x:comment>
  </x:commentList>
</x:comments>
</file>

<file path=xl/comments2.xml><?xml version="1.0" encoding="utf-8"?>
<x:comments xmlns:x="http://schemas.openxmlformats.org/spreadsheetml/2006/main">
  <x:authors>
    <x:author>贾维斯</x:author>
  </x:authors>
  <x:commentList>
    <x:comment ref="A1" authorId="0">
      <x:text>
        <x:r>
          <x:t>预填依据：docs/九霄1.0旧功能对照与存档样本.md 旧功能→新位置表 与 S2 旧功能行为矩阵；预填列不得擅改。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color theme="1"/>
      <x:name val="Calibri"/>
    </x:font>
    <x:font>
      <x:b/>
      <x:sz val="14"/>
      <x:color rgb="FF1F2A38"/>
      <x:name val="微软雅黑"/>
    </x:font>
    <x:font>
      <x:i/>
      <x:sz val="9"/>
      <x:color rgb="FF8A5A00"/>
      <x:name val="微软雅黑"/>
    </x:font>
    <x:font>
      <x:b/>
      <x:sz val="11"/>
      <x:color rgb="FFFFFFFF"/>
      <x:name val="微软雅黑"/>
    </x:font>
    <x:font>
      <x:b/>
      <x:sz val="10"/>
      <x:color rgb="FF333333"/>
      <x:name val="微软雅黑"/>
    </x:font>
    <x:font>
      <x:sz val="10"/>
      <x:color rgb="FF595959"/>
      <x:name val="微软雅黑"/>
    </x:font>
    <x:font>
      <x:sz val="10"/>
      <x:color rgb="FF1A1A1A"/>
      <x:name val="微软雅黑"/>
    </x:font>
    <x:font>
      <x:b/>
      <x:sz val="10"/>
      <x:name val="微软雅黑"/>
    </x:font>
    <x:font>
      <x:b/>
      <x:sz val="11"/>
      <x:name val="微软雅黑"/>
    </x:font>
    <x:font>
      <x:b/>
      <x:sz val="10"/>
      <x:color rgb="FFFFFFFF"/>
      <x:name val="微软雅黑"/>
    </x:font>
    <x:font>
      <x:i/>
      <x:sz val="9"/>
      <x:color rgb="FF666666"/>
      <x:name val="微软雅黑"/>
    </x:font>
  </x:fonts>
  <x:fills count="5">
    <x:fill>
      <x:patternFill patternType="none"/>
    </x:fill>
    <x:fill>
      <x:patternFill patternType="gray125"/>
    </x:fill>
    <x:fill>
      <x:patternFill patternType="solid">
        <x:fgColor rgb="FF44546A"/>
      </x:patternFill>
    </x:fill>
    <x:fill>
      <x:patternFill patternType="solid">
        <x:fgColor rgb="FFD9D9D9"/>
      </x:patternFill>
    </x:fill>
    <x:fill>
      <x:patternFill patternType="solid">
        <x:fgColor rgb="FFFFFF00"/>
      </x:patternFill>
    </x:fill>
  </x:fills>
  <x:borders count="6">
    <x:border/>
    <x:border>
      <x:left style="thin">
        <x:color rgb="FF9AA5B1"/>
      </x:left>
      <x:right style="thin">
        <x:color rgb="FF9AA5B1"/>
      </x:right>
      <x:top style="thin">
        <x:color rgb="FF9AA5B1"/>
      </x:top>
      <x:bottom style="thin">
        <x:color rgb="FF9AA5B1"/>
      </x:bottom>
    </x:border>
    <x:border>
      <x:top style="thin">
        <x:color rgb="FF9AA5B1"/>
      </x:top>
    </x:border>
    <x:border>
      <x:right style="thin">
        <x:color rgb="FF9AA5B1"/>
      </x:right>
      <x:top style="thin">
        <x:color rgb="FF9AA5B1"/>
      </x:top>
    </x:border>
    <x:border>
      <x:top style="thin">
        <x:color rgb="FF9AA5B1"/>
      </x:top>
      <x:bottom style="thin">
        <x:color rgb="FF9AA5B1"/>
      </x:bottom>
    </x:border>
    <x:border>
      <x:right style="thin">
        <x:color rgb="FF9AA5B1"/>
      </x:right>
      <x:top style="thin">
        <x:color rgb="FF9AA5B1"/>
      </x:top>
      <x:bottom style="thin">
        <x:color rgb="FF9AA5B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/>
    <x:xf numFmtId="0" fontId="2" fillId="0" borderId="0" xfId="0"/>
    <x:xf numFmtId="0" fontId="3" fillId="2" borderId="0" xfId="0" applyAlignment="1">
      <x:alignment horizontal="left" vertical="center"/>
    </x:xf>
    <x:xf numFmtId="0" fontId="4" fillId="0" borderId="1" xfId="0" applyAlignment="1">
      <x:alignment horizontal="left" vertical="top" wrapText="1"/>
    </x:xf>
    <x:xf numFmtId="0" fontId="5" fillId="3" borderId="1" xfId="0" applyAlignment="1">
      <x:alignment horizontal="left" vertical="top" wrapText="1"/>
    </x:xf>
    <x:xf numFmtId="0" fontId="0" fillId="3" borderId="1" xfId="0"/>
    <x:xf numFmtId="0" fontId="6" fillId="0" borderId="0" xfId="0" applyAlignment="1">
      <x:alignment horizontal="left" vertical="top" wrapText="1"/>
    </x:xf>
    <x:xf numFmtId="0" fontId="4" fillId="0" borderId="1" xfId="0"/>
    <x:xf numFmtId="0" fontId="7" fillId="0" borderId="1" xfId="0" applyAlignment="1">
      <x:alignment horizontal="center"/>
    </x:xf>
    <x:xf numFmtId="0" fontId="6" fillId="4" borderId="1" xfId="0" applyAlignment="1">
      <x:alignment horizontal="left" vertical="top" wrapText="1"/>
    </x:xf>
    <x:xf numFmtId="0" fontId="0" fillId="4" borderId="1" xfId="0"/>
    <x:xf numFmtId="0" fontId="8" fillId="0" borderId="0" xfId="0"/>
    <x:xf numFmtId="0" fontId="9" fillId="2" borderId="1" xfId="0" applyAlignment="1">
      <x:alignment horizontal="center" vertical="center" wrapText="1"/>
    </x:xf>
    <x:xf numFmtId="0" fontId="4" fillId="0" borderId="1" xfId="0" applyAlignment="1">
      <x:alignment horizontal="center" vertical="center" wrapText="1"/>
    </x:xf>
    <x:xf numFmtId="0" fontId="6" fillId="0" borderId="1" xfId="0" applyAlignment="1">
      <x:alignment horizontal="left" vertical="top" wrapText="1"/>
    </x:xf>
    <x:xf numFmtId="0" fontId="10" fillId="0" borderId="1" xfId="0" applyAlignment="1">
      <x:alignment horizontal="left" vertical="top" wrapText="1"/>
    </x:xf>
    <x:xf numFmtId="0" fontId="0" fillId="4" borderId="1" xfId="0" applyAlignment="1">
      <x:alignment horizontal="left" vertical="top" wrapText="1"/>
    </x:xf>
    <x:xf numFmtId="0" fontId="2" fillId="0" borderId="0" xfId="0" applyAlignment="1">
      <x:alignment horizontal="left" vertical="top" wrapText="1"/>
    </x:xf>
    <x:xf numFmtId="0" fontId="4" fillId="4" borderId="1" xfId="0" applyAlignment="1">
      <x:alignment horizontal="left" vertical="top" wrapText="1"/>
    </x:xf>
    <x:xf numFmtId="0" fontId="0" fillId="0" borderId="4" xfId="0"/>
    <x:xf numFmtId="0" fontId="0" fillId="0" borderId="5" xfId="0"/>
    <x:xf numFmtId="0" fontId="0" fillId="0" borderId="0" xfId="0" applyAlignment="1">
      <x:alignment vertical="top" wrapText="1"/>
    </x:xf>
    <x:xf numFmtId="0" fontId="6" fillId="4" borderId="1" xfId="0" applyNumberFormat="1" applyFont="1" applyFill="1" applyBorder="1" applyAlignment="1">
      <x:alignment horizontal="left" vertical="top" wrapText="1"/>
    </x:xf>
    <x:xf numFmtId="0" fontId="6" fillId="0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horizontal="left" vertical="top" wrapText="1"/>
    </x:xf>
    <x:xf numFmtId="0" fontId="4" fillId="4" borderId="1" xfId="0" applyNumberFormat="1" applyFont="1" applyFill="1" applyBorder="1" applyAlignment="1">
      <x:alignment horizontal="left" vertical="top" wrapText="1"/>
    </x:xf>
    <x:xf numFmtId="0" fontId="6" fillId="0" borderId="1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4">
    <x:dxf>
      <x:font>
        <x:b/>
        <x:color rgb="009C0006"/>
      </x:font>
      <x:fill>
        <x:patternFill>
          <x:bgColor rgb="00FFC7CE"/>
        </x:patternFill>
      </x:fill>
    </x:dxf>
    <x:dxf>
      <x:font>
        <x:b/>
        <x:color rgb="00006100"/>
      </x:font>
      <x:fill>
        <x:patternFill>
          <x:bgColor rgb="00C6EFCE"/>
        </x:patternFill>
      </x:fill>
    </x:dxf>
    <x:dxf>
      <x:font>
        <x:b/>
        <x:color rgb="009C6500"/>
      </x:font>
      <x:fill>
        <x:patternFill>
          <x:bgColor rgb="00FFEB9C"/>
        </x:patternFill>
      </x:fill>
    </x:dxf>
    <x:dxf>
      <x:font>
        <x:color rgb="00595959"/>
      </x:font>
      <x:fill>
        <x:patternFill>
          <x:bgColor rgb="00D9D9D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a2867704b14461" /><Relationship Type="http://schemas.openxmlformats.org/officeDocument/2006/relationships/theme" Target="/xl/theme/theme1.xml" Id="R28711b73af5f4680" /><Relationship Type="http://schemas.openxmlformats.org/officeDocument/2006/relationships/sharedStrings" Target="/xl/sharedStrings.xml" Id="Rbcba73fbfaa44bec" /><Relationship Type="http://schemas.openxmlformats.org/officeDocument/2006/relationships/worksheet" Target="/xl/worksheets/sheet1.xml" Id="R333d33026f464efb" /><Relationship Type="http://schemas.openxmlformats.org/officeDocument/2006/relationships/worksheet" Target="/xl/worksheets/sheet2.xml" Id="R68a75c663b1a447d" /><Relationship Type="http://schemas.openxmlformats.org/officeDocument/2006/relationships/worksheet" Target="/xl/worksheets/sheet3.xml" Id="Rca4ff632f035478e" /><Relationship Type="http://schemas.openxmlformats.org/officeDocument/2006/relationships/worksheet" Target="/xl/worksheets/sheet4.xml" Id="R66bab01af456486b" /><Relationship Type="http://schemas.openxmlformats.org/officeDocument/2006/relationships/worksheet" Target="/xl/worksheets/sheet5.xml" Id="Ra4ddc8bf56ab4d49" /><Relationship Type="http://schemas.microsoft.com/office/2017/10/relationships/person" Target="/xl/persons/person.xml" Id="R58d03acc3fd0445e" /></Relationships>
</file>

<file path=xl/persons/person.xml><?xml version="1.0" encoding="utf-8"?>
<xltc:personList xmlns:xltc="http://schemas.microsoft.com/office/spreadsheetml/2018/threadedcomments">
  <xltc:person displayName="贾维斯" id="{2E802D2B-4EC9-BF65-AD35-B41745C3E483}"/>
  <xltc:person displayName="贾维斯" id="{707CA788-D322-C778-B2D2-BB28DB1A4DDD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cde5654eaef4853" /><Relationship Type="http://schemas.openxmlformats.org/officeDocument/2006/relationships/vmlDrawing" Target="/xl/drawings/vmldrawing.vml" Id="R750d88e167e445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ef943d4e3e334596" /><Relationship Type="http://schemas.openxmlformats.org/officeDocument/2006/relationships/vmlDrawing" Target="/xl/drawings/vmldrawing2.vml" Id="R14e79884091e460f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15" customWidth="1"/>
    <x:col min="3" max="3" width="15" customWidth="1"/>
    <x:col min="4" max="4" width="15" customWidth="1"/>
    <x:col min="5" max="5" width="15" customWidth="1"/>
    <x:col min="6" max="6" width="15" customWidth="1"/>
    <x:col min="7" max="7" width="15" customWidth="1"/>
    <x:col min="8" max="8" width="15" customWidth="1"/>
  </x:cols>
  <x:sheetData>
    <x:row r="1" ht="24" customHeight="1">
      <x:c r="A1" s="1" t="inlineStr">
        <x:is>
          <x:t xml:space="preserve">《九霄》1.0 — LYL-01 验收记录表（旧功能与 S2 玩家路径 · 解除 G-02）</x:t>
        </x:is>
      </x:c>
    </x:row>
    <x:row r="2">
      <x:c r="A2" s="2" t="inlineStr">
        <x:is>
          <x:t xml:space="preserve">依据：docs/九霄1.0阶段缺口与人工交接清单-2026-09-29.md 第 5 节 LYL-01；docs/九霄1.0旧功能对照与存档样本.md</x:t>
        </x:is>
      </x:c>
    </x:row>
    <x:row r="4" ht="18" customHeight="1">
      <x:c r="A4" s="3" t="inlineStr">
        <x:is>
          <x:t xml:space="preserve">候选身份（预填锁定，签署只认这一对哈希，不得在不同提交上分签）</x:t>
        </x:is>
      </x:c>
    </x:row>
    <x:row r="5" ht="30" customHeight="1">
      <x:c r="A5" s="4" t="inlineStr">
        <x:is>
          <x:t xml:space="preserve">commit</x:t>
        </x:is>
      </x:c>
      <x:c r="B5" s="5" t="inlineStr">
        <x:is>
          <x:t xml:space="preserve">c345a1cadd3e6431e55a997fd41189fe92403d68</x:t>
        </x:is>
      </x:c>
      <x:c r="C5" s="20" t="n"/>
      <x:c r="D5" s="20" t="n"/>
      <x:c r="E5" s="20" t="n"/>
      <x:c r="F5" s="20" t="n"/>
      <x:c r="G5" s="20" t="n"/>
      <x:c r="H5" s="21" t="n"/>
    </x:row>
    <x:row r="6" ht="30" customHeight="1">
      <x:c r="A6" s="4" t="inlineStr">
        <x:is>
          <x:t xml:space="preserve">build hash (sha256)</x:t>
        </x:is>
      </x:c>
      <x:c r="B6" s="5" t="inlineStr">
        <x:is>
          <x:t xml:space="preserve">41bffdc105b7ac191f0f8e54c2d528cd4278466b4e700bdf41d2e2166da86bc2</x:t>
        </x:is>
      </x:c>
      <x:c r="C6" s="20" t="n"/>
      <x:c r="D6" s="20" t="n"/>
      <x:c r="E6" s="20" t="n"/>
      <x:c r="F6" s="20" t="n"/>
      <x:c r="G6" s="20" t="n"/>
      <x:c r="H6" s="21" t="n"/>
    </x:row>
    <x:row r="7" ht="30" customHeight="1">
      <x:c r="A7" s="4" t="inlineStr">
        <x:is>
          <x:t xml:space="preserve">CI run</x:t>
        </x:is>
      </x:c>
      <x:c r="B7" s="5" t="inlineStr">
        <x:is>
          <x:t xml:space="preserve">36961781663</x:t>
        </x:is>
      </x:c>
      <x:c r="C7" s="20" t="n"/>
      <x:c r="D7" s="20" t="n"/>
      <x:c r="E7" s="20" t="n"/>
      <x:c r="F7" s="20" t="n"/>
      <x:c r="G7" s="20" t="n"/>
      <x:c r="H7" s="21" t="n"/>
    </x:row>
    <x:row r="8" ht="30" customHeight="1">
      <x:c r="A8" s="4" t="inlineStr">
        <x:is>
          <x:t xml:space="preserve">构建工件</x:t>
        </x:is>
      </x:c>
      <x:c r="B8" s="5" t="inlineStr">
        <x:is>
          <x:t xml:space="preserve">jiuxiao-engineering-review-c345a1cadd3e6431e55a997fd41189fe92403d68</x:t>
        </x:is>
      </x:c>
      <x:c r="C8" s="20" t="n"/>
      <x:c r="D8" s="20" t="n"/>
      <x:c r="E8" s="20" t="n"/>
      <x:c r="F8" s="20" t="n"/>
      <x:c r="G8" s="20" t="n"/>
      <x:c r="H8" s="21" t="n"/>
    </x:row>
    <x:row r="9" ht="30" customHeight="1">
      <x:c r="A9" s="4" t="inlineStr">
        <x:is>
          <x:t xml:space="preserve">本地验收地址</x:t>
        </x:is>
      </x:c>
      <x:c r="B9" s="5" t="inlineStr">
        <x:is>
          <x:t xml:space="preserve">http://localhost:4173 （npx -y serve -s -l 4173 . 于解压目录 apps/web/dist 内启动）</x:t>
        </x:is>
      </x:c>
      <x:c r="C9" s="20" t="n"/>
      <x:c r="D9" s="20" t="n"/>
      <x:c r="E9" s="20" t="n"/>
      <x:c r="F9" s="20" t="n"/>
      <x:c r="G9" s="20" t="n"/>
      <x:c r="H9" s="21" t="n"/>
    </x:row>
    <x:row r="10" ht="30" customHeight="1">
      <x:c r="A10" s="4" t="inlineStr">
        <x:is>
          <x:t xml:space="preserve">预填内容依据</x:t>
        </x:is>
      </x:c>
      <x:c r="B10" s="5" t="inlineStr">
        <x:is>
          <x:t xml:space="preserve">docs/九霄1.0旧功能对照与存档样本.md 旧功能→新位置表；docs/九霄1.0-S2旧功能行为矩阵-2026-09-30.md；AI_CONFIG_G1_PACKET.json</x:t>
        </x:is>
      </x:c>
      <x:c r="C10" s="20" t="n"/>
      <x:c r="D10" s="20" t="n"/>
      <x:c r="E10" s="20" t="n"/>
      <x:c r="F10" s="20" t="n"/>
      <x:c r="G10" s="20" t="n"/>
      <x:c r="H10" s="21" t="n"/>
    </x:row>
    <x:row r="12" ht="18" customHeight="1">
      <x:c r="A12" s="3" t="inlineStr">
        <x:is>
          <x:t xml:space="preserve">填写规则（来自 LYL-01 第 2 步，逐条执行）</x:t>
        </x:is>
      </x:c>
    </x:row>
    <x:row r="13" ht="30" customHeight="1">
      <x:c r="A13" s="7" t="inlineStr">
        <x:is>
          <x:t xml:space="preserve">1. 「走查记录」每行都要填：实际结果、结论、证据文件名、验收日期；预填列（旧版动作/新版入口/测试输入/期望结果/恢复方法）不得擅自改写。</x:t>
        </x:is>
      </x:c>
    </x:row>
    <x:row r="14" ht="30" customHeight="1">
      <x:c r="A14" s="7" t="inlineStr">
        <x:is>
          <x:t xml:space="preserve">2. UI 文字重复、动作重叠或按钮无反应，结论必须判「失败」，不能仅凭视觉通过。</x:t>
        </x:is>
      </x:c>
    </x:row>
    <x:row r="15" ht="30" customHeight="1">
      <x:c r="A15" s="7" t="inlineStr">
        <x:is>
          <x:t xml:space="preserve">3. 结论只能填下拉四值之一：通过 / 失败 / 不适用 / 风险接受；选「不适用」或「风险接受」必须在备注写明理由。</x:t>
        </x:is>
      </x:c>
    </x:row>
    <x:row r="16" ht="30" customHeight="1">
      <x:c r="A16" s="7" t="inlineStr">
        <x:is>
          <x:t xml:space="preserve">4. 不上传存档正文、API Key、临江仙 JSON 到 GitHub；截图不得含密钥。</x:t>
        </x:is>
      </x:c>
    </x:row>
    <x:row r="17" ht="30" customHeight="1">
      <x:c r="A17" s="7" t="inlineStr">
        <x:is>
          <x:t xml:space="preserve">5. 失败行填入「失败行与回归」表派给 Bird/工程；修复后只重跑受影响行及相关回归。</x:t>
        </x:is>
      </x:c>
    </x:row>
    <x:row r="18" ht="30" customHeight="1">
      <x:c r="A18" s="7" t="inlineStr">
        <x:is>
          <x:t xml:space="preserve">6. 修复产生新提交时绑定新候选 commit/build hash，全部满足后对同一版本重签。</x:t>
        </x:is>
      </x:c>
    </x:row>
    <x:row r="19" ht="30" customHeight="1">
      <x:c r="A19" s="7" t="inlineStr">
        <x:is>
          <x:t xml:space="preserve">7. 真实 Key 只在「真实Key短连接」表记录脱敏结果；游戏内生成是否接入按 G-03 处理，不在本次签收。</x:t>
        </x:is>
      </x:c>
    </x:row>
    <x:row r="21" ht="18" customHeight="1">
      <x:c r="A21" s="3" t="inlineStr">
        <x:is>
          <x:t xml:space="preserve">图例</x:t>
        </x:is>
      </x:c>
    </x:row>
    <x:row r="22" ht="30" customHeight="1">
      <x:c r="A22" s="7" t="inlineStr">
        <x:is>
          <x:t xml:space="preserve">黄色底＝请填写 · 灰色底＝预填锁定勿改 · 走查记录 I 列为下拉选择</x:t>
        </x:is>
      </x:c>
    </x:row>
    <x:row r="23" ht="30" customHeight="1">
      <x:c r="A23" s="7" t="inlineStr">
        <x:is>
          <x:t xml:space="preserve">示例（演示格式，不是待办）：旧版动作=进入世界、无档时空游戏页 | 新版入口=/ | 测试输入=无存档首次打开 | 期望=首屏只显示进入世界 | 实际=符合预期 | 恢复方法=（预填） | 结论=通过 | 证据=01-shanmen.png | 日期=2026-10-02</x:t>
        </x:is>
      </x:c>
    </x:row>
    <x:row r="25" ht="18" customHeight="1">
      <x:c r="A25" s="3" t="inlineStr">
        <x:is>
          <x:t xml:space="preserve">完成度统计（自动计算，取自「走查记录」I 列结论）</x:t>
        </x:is>
      </x:c>
    </x:row>
    <x:row r="26">
      <x:c r="A26" s="8" t="inlineStr">
        <x:is>
          <x:t xml:space="preserve">走查总行数</x:t>
        </x:is>
      </x:c>
      <x:c r="B26" s="9" t="n">
        <x:f>ROWS('走查记录'!$I$5:$I$43)</x:f>
        <x:v>39</x:v>
      </x:c>
    </x:row>
    <x:row r="27">
      <x:c r="A27" s="8" t="inlineStr">
        <x:is>
          <x:t xml:space="preserve">已填写结论</x:t>
        </x:is>
      </x:c>
      <x:c r="B27" s="9" t="n">
        <x:f>COUNTA('走查记录'!$I$5:$I$43)</x:f>
        <x:v>39</x:v>
      </x:c>
    </x:row>
    <x:row r="28">
      <x:c r="A28" s="8" t="inlineStr">
        <x:is>
          <x:t xml:space="preserve">通过</x:t>
        </x:is>
      </x:c>
      <x:c r="B28" s="9" t="n">
        <x:f>COUNTIF('走查记录'!$I$5:$I$43,"通过")</x:f>
        <x:v>37</x:v>
      </x:c>
    </x:row>
    <x:row r="29">
      <x:c r="A29" s="8" t="inlineStr">
        <x:is>
          <x:t xml:space="preserve">失败</x:t>
        </x:is>
      </x:c>
      <x:c r="B29" s="9" t="n">
        <x:f>COUNTIF('走查记录'!$I$5:$I$43,"失败")</x:f>
        <x:v>0</x:v>
      </x:c>
    </x:row>
    <x:row r="30">
      <x:c r="A30" s="8" t="inlineStr">
        <x:is>
          <x:t xml:space="preserve">不适用</x:t>
        </x:is>
      </x:c>
      <x:c r="B30" s="9" t="n">
        <x:f>COUNTIF('走查记录'!$I$5:$I$43,"不适用")</x:f>
        <x:v>2</x:v>
      </x:c>
    </x:row>
    <x:row r="31">
      <x:c r="A31" s="8" t="inlineStr">
        <x:is>
          <x:t xml:space="preserve">风险接受</x:t>
        </x:is>
      </x:c>
      <x:c r="B31" s="9" t="n">
        <x:f>COUNTIF('走查记录'!$I$5:$I$43,"风险接受")</x:f>
        <x:v>0</x:v>
      </x:c>
    </x:row>
    <x:row r="32">
      <x:c r="A32" s="8" t="inlineStr">
        <x:is>
          <x:t xml:space="preserve">未填写</x:t>
        </x:is>
      </x:c>
      <x:c r="B32" s="9" t="n">
        <x:f>B26-B27</x:f>
        <x:v>0</x:v>
      </x:c>
    </x:row>
    <x:row r="34" ht="18" customHeight="1">
      <x:c r="A34" s="3" t="inlineStr">
        <x:is>
          <x:t xml:space="preserve">环境记录（请填写）</x:t>
        </x:is>
      </x:c>
    </x:row>
    <x:row r="35" ht="30" customHeight="1">
      <x:c r="A35" s="4" t="inlineStr">
        <x:is>
          <x:t xml:space="preserve">浏览器名称及版本</x:t>
        </x:is>
      </x:c>
      <x:c r="B35" s="10" t="inlineStr">
        <x:is>
          <x:t xml:space="preserve">Microsoft Edge 154.0.4258.48（Chromium 内核，Playwright 驱动）</x:t>
        </x:is>
      </x:c>
      <x:c r="C35" s="20" t="n"/>
      <x:c r="D35" s="20" t="n"/>
      <x:c r="E35" s="20" t="n"/>
      <x:c r="F35" s="20" t="n"/>
      <x:c r="G35" s="20" t="n"/>
      <x:c r="H35" s="21" t="n"/>
    </x:row>
    <x:row r="36" ht="30" customHeight="1">
      <x:c r="A36" s="4" t="inlineStr">
        <x:is>
          <x:t xml:space="preserve">操作系统</x:t>
        </x:is>
      </x:c>
      <x:c r="B36" s="10" t="inlineStr">
        <x:is>
          <x:t xml:space="preserve">Microsoft Windows 11 家庭版 中文版（10.0.26200）</x:t>
        </x:is>
      </x:c>
      <x:c r="C36" s="20" t="n"/>
      <x:c r="D36" s="20" t="n"/>
      <x:c r="E36" s="20" t="n"/>
      <x:c r="F36" s="20" t="n"/>
      <x:c r="G36" s="20" t="n"/>
      <x:c r="H36" s="21" t="n"/>
    </x:row>
    <x:row r="37" ht="30" customHeight="1">
      <x:c r="A37" s="4" t="inlineStr">
        <x:is>
          <x:t xml:space="preserve">验收视口</x:t>
        </x:is>
      </x:c>
      <x:c r="B37" s="10" t="inlineStr">
        <x:is>
          <x:t xml:space="preserve">1366×768（桌面视口；跨标签与并发用同上下文双标签页）</x:t>
        </x:is>
      </x:c>
      <x:c r="C37" s="20" t="n"/>
      <x:c r="D37" s="20" t="n"/>
      <x:c r="E37" s="20" t="n"/>
      <x:c r="F37" s="20" t="n"/>
      <x:c r="G37" s="20" t="n"/>
      <x:c r="H37" s="21" t="n"/>
    </x:row>
    <x:row r="38" ht="30" customHeight="1">
      <x:c r="A38" s="4" t="inlineStr">
        <x:is>
          <x:t xml:space="preserve">验收日期</x:t>
        </x:is>
      </x:c>
      <x:c r="B38" s="10" t="inlineStr">
        <x:is>
          <x:t xml:space="preserve">2026-10-02</x:t>
        </x:is>
      </x:c>
      <x:c r="C38" s="20" t="n"/>
      <x:c r="D38" s="20" t="n"/>
      <x:c r="E38" s="20" t="n"/>
      <x:c r="F38" s="20" t="n"/>
      <x:c r="G38" s="20" t="n"/>
      <x:c r="H38" s="21" t="n"/>
    </x:row>
    <x:row r="39" ht="30" customHeight="1">
      <x:c r="A39" s="4" t="inlineStr">
        <x:is>
          <x:t xml:space="preserve">验收人</x:t>
        </x:is>
      </x:c>
      <x:c r="B39" s="10" t="inlineStr">
        <x:is>
          <x:t xml:space="preserve">LYL（授权 AI 代理按 LYL-01 第 1–3 步在本机候选构建上代为执行）</x:t>
        </x:is>
      </x:c>
      <x:c r="C39" s="20" t="n"/>
      <x:c r="D39" s="20" t="n"/>
      <x:c r="E39" s="20" t="n"/>
      <x:c r="F39" s="20" t="n"/>
      <x:c r="G39" s="20" t="n"/>
      <x:c r="H39" s="21" t="n"/>
    </x:row>
    <x:row r="41" ht="18" customHeight="1">
      <x:c r="A41" s="3" t="inlineStr">
        <x:is>
          <x:t xml:space="preserve">签署（双方回执必须绑定同一 commit 与 build hash，缺一不可）</x:t>
        </x:is>
      </x:c>
    </x:row>
    <x:row r="42" ht="30" customHeight="1">
      <x:c r="A42" s="4" t="inlineStr">
        <x:is>
          <x:t xml:space="preserve">LYL 回执 · 姓名</x:t>
        </x:is>
      </x:c>
      <x:c r="B42" s="10" t="inlineStr">
        <x:is>
          <x:t xml:space="preserve">LYL（AI 代理执行）</x:t>
        </x:is>
      </x:c>
      <x:c r="C42" s="20" t="n"/>
      <x:c r="D42" s="20" t="n"/>
      <x:c r="E42" s="20" t="n"/>
      <x:c r="F42" s="20" t="n"/>
      <x:c r="G42" s="20" t="n"/>
      <x:c r="H42" s="21" t="n"/>
    </x:row>
    <x:row r="43" ht="30" customHeight="1">
      <x:c r="A43" s="4" t="inlineStr">
        <x:is>
          <x:t xml:space="preserve">LYL 回执 · 日期</x:t>
        </x:is>
      </x:c>
      <x:c r="B43" s="10" t="inlineStr">
        <x:is>
          <x:t xml:space="preserve">2026-10-02</x:t>
        </x:is>
      </x:c>
      <x:c r="C43" s="20" t="n"/>
      <x:c r="D43" s="20" t="n"/>
      <x:c r="E43" s="20" t="n"/>
      <x:c r="F43" s="20" t="n"/>
      <x:c r="G43" s="20" t="n"/>
      <x:c r="H43" s="21" t="n"/>
    </x:row>
    <x:row r="44" ht="30" customHeight="1">
      <x:c r="A44" s="4" t="inlineStr">
        <x:is>
          <x:t xml:space="preserve">LYL 回执 · 验收范围</x:t>
        </x:is>
      </x:c>
      <x:c r="B44" s="10" t="inlineStr">
        <x:is>
          <x:t xml:space="preserve">LYL-01 旧功能与 S2 玩家路径全部 39 行走查（山门/建角/补充资料/世界书/面板/行动/存档/导入导出/冲突/AI 设置/回合恢复/演示/临江仙真实 JSON 回归），绑定 commit c345a1cadd3e6431e55a997fd41189fe92403d68、build hash 41bffdc1…、CI run 36961781663。</x:t>
        </x:is>
      </x:c>
      <x:c r="C44" s="20" t="n"/>
      <x:c r="D44" s="20" t="n"/>
      <x:c r="E44" s="20" t="n"/>
      <x:c r="F44" s="20" t="n"/>
      <x:c r="G44" s="20" t="n"/>
      <x:c r="H44" s="21" t="n"/>
    </x:row>
    <x:row r="45" ht="24" hidden="0" customHeight="1">
      <x:c r="A45" s="4" t="inlineStr">
        <x:is>
          <x:t xml:space="preserve">LYL 回执 · 明确结论（通过/有失败行）</x:t>
        </x:is>
      </x:c>
      <x:c r="B45" s="23" t="str">
        <x:v>初次39行：37通过、2不适用。LYL补充F-01～05已在新候选修复并通过局部自动化，不能继承旧构建签收。DeepSeek私密自测成功199ms；共同G1尚需Bird本人独立同构建回执。</x:v>
      </x:c>
      <x:c r="C45" s="20" t="n"/>
      <x:c r="D45" s="20" t="n"/>
      <x:c r="E45" s="20" t="n"/>
      <x:c r="F45" s="20" t="n"/>
      <x:c r="G45" s="20" t="n"/>
      <x:c r="H45" s="21" t="n"/>
    </x:row>
    <x:row r="46" ht="30" customHeight="1">
      <x:c r="A46" s="4" t="inlineStr">
        <x:is>
          <x:t xml:space="preserve">Bird 回执 · 姓名</x:t>
        </x:is>
      </x:c>
      <x:c r="B46" s="10" t="inlineStr">
        <x:is>
          <x:t xml:space="preserve">Bird（AI 代理复核）</x:t>
        </x:is>
      </x:c>
      <x:c r="C46" s="20" t="n"/>
      <x:c r="D46" s="20" t="n"/>
      <x:c r="E46" s="20" t="n"/>
      <x:c r="F46" s="20" t="n"/>
      <x:c r="G46" s="20" t="n"/>
      <x:c r="H46" s="21" t="n"/>
    </x:row>
    <x:row r="47" ht="30" customHeight="1">
      <x:c r="A47" s="4" t="inlineStr">
        <x:is>
          <x:t xml:space="preserve">Bird 回执 · 日期</x:t>
        </x:is>
      </x:c>
      <x:c r="B47" s="10" t="inlineStr">
        <x:is>
          <x:t xml:space="preserve">2026-10-02</x:t>
        </x:is>
      </x:c>
      <x:c r="C47" s="20" t="n"/>
      <x:c r="D47" s="20" t="n"/>
      <x:c r="E47" s="20" t="n"/>
      <x:c r="F47" s="20" t="n"/>
      <x:c r="G47" s="20" t="n"/>
      <x:c r="H47" s="21" t="n"/>
    </x:row>
    <x:row r="48" ht="30" customHeight="1">
      <x:c r="A48" s="4" t="inlineStr">
        <x:is>
          <x:t xml:space="preserve">Bird 回执 · 验收范围</x:t>
        </x:is>
      </x:c>
      <x:c r="B48" s="10" t="inlineStr">
        <x:is>
          <x:t xml:space="preserve">同一 commit/build hash 下复核走查记录、39 张证据截图与既有 E2E/CI 证据的一致性；确认未证项已登记去向。</x:t>
        </x:is>
      </x:c>
      <x:c r="C48" s="20" t="n"/>
      <x:c r="D48" s="20" t="n"/>
      <x:c r="E48" s="20" t="n"/>
      <x:c r="F48" s="20" t="n"/>
      <x:c r="G48" s="20" t="n"/>
      <x:c r="H48" s="21" t="n"/>
    </x:row>
    <x:row r="49" ht="24" hidden="0" customHeight="1">
      <x:c r="A49" s="4" t="inlineStr">
        <x:is>
          <x:t xml:space="preserve">Bird 回执 · 明确结论（通过/有失败行）</x:t>
        </x:is>
      </x:c>
      <x:c r="B49" s="23" t="str">
        <x:v>历史代理复核记录保留；此处不是Bird本人独立签字。当前结论以失败行复测、唯一缺口清单及新候选同摘要回执为准。</x:v>
      </x:c>
      <x:c r="C49" s="20" t="n"/>
      <x:c r="D49" s="20" t="n"/>
      <x:c r="E49" s="20" t="n"/>
      <x:c r="F49" s="20" t="n"/>
      <x:c r="G49" s="20" t="n"/>
      <x:c r="H49" s="21" t="n"/>
    </x:row>
    <x:row r="50" ht="15" hidden="0" customHeight="1">
      <x:c r="A50" s="24" t="str">
        <x:v>本页B5/B6仍绑定原c345a1c/41bffdc1候选，不改写历史身份。本轮修复SHA见失败表F列；不继承旧build hash，不代签Bird，不宣称G-02整体解除。</x:v>
      </x:c>
    </x:row>
    <x:row r="52" ht="79.19999694824219" hidden="0" customHeight="1">
      <x:c r="A52" s="25" t="str">
        <x:v>关联全缺口表已复核：G-07范围关闭；8个开放G组、14个仍需行动ID，3个行动范围已关闭。唯一当前清单：docs/九霄1.0阶段缺口与人工交接清单-2026-09-29.md。</x:v>
      </x:c>
    </x:row>
  </x:sheetData>
  <x:mergeCells>
    <x:mergeCell ref="B9:H9"/>
    <x:mergeCell ref="A15:H15"/>
    <x:mergeCell ref="B49:H49"/>
    <x:mergeCell ref="B6:H6"/>
    <x:mergeCell ref="A1:H1"/>
    <x:mergeCell ref="B5:H5"/>
    <x:mergeCell ref="B45:H45"/>
    <x:mergeCell ref="B36:H36"/>
    <x:mergeCell ref="A25:H25"/>
    <x:mergeCell ref="B35:H35"/>
    <x:mergeCell ref="A16:H16"/>
    <x:mergeCell ref="A41:H41"/>
    <x:mergeCell ref="B47:H47"/>
    <x:mergeCell ref="B7:H7"/>
    <x:mergeCell ref="B46:H46"/>
    <x:mergeCell ref="A12:H12"/>
    <x:mergeCell ref="A18:H18"/>
    <x:mergeCell ref="A50:H50"/>
    <x:mergeCell ref="A21:H21"/>
    <x:mergeCell ref="A2:H2"/>
    <x:mergeCell ref="B43:H43"/>
    <x:mergeCell ref="B39:H39"/>
    <x:mergeCell ref="B48:H48"/>
    <x:mergeCell ref="A14:H14"/>
    <x:mergeCell ref="B42:H42"/>
    <x:mergeCell ref="A23:H23"/>
    <x:mergeCell ref="A22:H22"/>
    <x:mergeCell ref="A17:H17"/>
    <x:mergeCell ref="A4:H4"/>
    <x:mergeCell ref="B8:H8"/>
    <x:mergeCell ref="B44:H44"/>
    <x:mergeCell ref="B38:H38"/>
    <x:mergeCell ref="A13:H13"/>
    <x:mergeCell ref="A19:H19"/>
    <x:mergeCell ref="B10:H10"/>
    <x:mergeCell ref="B37:H37"/>
    <x:mergeCell ref="A34:H34"/>
  </x:mergeCells>
  <x:pageMargins left="0.7" right="0.7" top="0.75" bottom="0.75" header="0.3" footer="0.3"/>
  <x:legacyDrawing xmlns:r="http://schemas.openxmlformats.org/officeDocument/2006/relationships" r:id="R750d88e167e44526"/>
</x:worksheet>
</file>

<file path=xl/worksheets/sheet2.xml><?xml version="1.0" encoding="utf-8"?>
<x:worksheet xmlns:x="http://schemas.openxmlformats.org/spreadsheetml/2006/main">
  <x:sheetViews>
    <x:sheetView workbookViewId="0">
      <x:pane xSplit="2" ySplit="4" topLeftCell="C5" activePane="bottomRight" state="frozen"/>
    </x:sheetView>
  </x:sheetViews>
  <x:sheetFormatPr baseColWidth="8" defaultRowHeight="15"/>
  <x:cols>
    <x:col min="1" max="1" width="6" customWidth="1"/>
    <x:col min="2" max="2" width="12" customWidth="1"/>
    <x:col min="3" max="3" width="30" customWidth="1"/>
    <x:col min="4" max="4" width="20" customWidth="1"/>
    <x:col min="5" max="5" width="26" customWidth="1"/>
    <x:col min="6" max="6" width="38" customWidth="1"/>
    <x:col min="7" max="7" width="26" customWidth="1"/>
    <x:col min="8" max="8" width="30" customWidth="1"/>
    <x:col min="9" max="9" width="11" customWidth="1"/>
    <x:col min="10" max="10" width="15" customWidth="1"/>
    <x:col min="11" max="11" width="11" customWidth="1"/>
  </x:cols>
  <x:sheetData>
    <x:row r="1">
      <x:c r="A1" s="12" t="inlineStr">
        <x:is>
          <x:t xml:space="preserve">走查记录 — 39 行覆盖 LYL-01 全部区域（G/I/J/K 列为黄色填写位）</x:t>
        </x:is>
      </x:c>
    </x:row>
    <x:row r="2">
      <x:c r="A2" s="2" t="inlineStr">
        <x:is>
          <x:t xml:space="preserve">签署对象：commit c345a1c… · build hash 41bffdc1… · CI run 36961781663</x:t>
        </x:is>
      </x:c>
    </x:row>
    <x:row r="4" ht="26" customHeight="1">
      <x:c r="A4" s="13" t="inlineStr">
        <x:is>
          <x:t xml:space="preserve">编号</x:t>
        </x:is>
      </x:c>
      <x:c r="B4" s="13" t="inlineStr">
        <x:is>
          <x:t xml:space="preserve">区域</x:t>
        </x:is>
      </x:c>
      <x:c r="C4" s="13" t="inlineStr">
        <x:is>
          <x:t xml:space="preserve">旧版实际动作</x:t>
        </x:is>
      </x:c>
      <x:c r="D4" s="13" t="inlineStr">
        <x:is>
          <x:t xml:space="preserve">新版入口</x:t>
        </x:is>
      </x:c>
      <x:c r="E4" s="13" t="inlineStr">
        <x:is>
          <x:t xml:space="preserve">测试输入（建议）</x:t>
        </x:is>
      </x:c>
      <x:c r="F4" s="13" t="inlineStr">
        <x:is>
          <x:t xml:space="preserve">期望结果</x:t>
        </x:is>
      </x:c>
      <x:c r="G4" s="13" t="inlineStr">
        <x:is>
          <x:t xml:space="preserve">实际结果（填写）</x:t>
        </x:is>
      </x:c>
      <x:c r="H4" s="13" t="inlineStr">
        <x:is>
          <x:t xml:space="preserve">拒绝/失败后的恢复方法</x:t>
        </x:is>
      </x:c>
      <x:c r="I4" s="13" t="inlineStr">
        <x:is>
          <x:t xml:space="preserve">结论（下拉）</x:t>
        </x:is>
      </x:c>
      <x:c r="J4" s="13" t="inlineStr">
        <x:is>
          <x:t xml:space="preserve">证据文件名</x:t>
        </x:is>
      </x:c>
      <x:c r="K4" s="13" t="inlineStr">
        <x:is>
          <x:t xml:space="preserve">验收日期</x:t>
        </x:is>
      </x:c>
    </x:row>
    <x:row r="5">
      <x:c r="A5" s="14" t="n">
        <x:v>1</x:v>
      </x:c>
      <x:c r="B5" s="15" t="inlineStr">
        <x:is>
          <x:t xml:space="preserve">山门与导航</x:t>
        </x:is>
      </x:c>
      <x:c r="C5" s="15" t="inlineStr">
        <x:is>
          <x:t xml:space="preserve">进入世界、无档时空游戏页；enterGameTop 与动态首屏入口</x:t>
        </x:is>
      </x:c>
      <x:c r="D5" s="15" t="inlineStr">
        <x:is>
          <x:t xml:space="preserve">/（山门）</x:t>
        </x:is>
      </x:c>
      <x:c r="E5" s="15" t="inlineStr">
        <x:is>
          <x:t xml:space="preserve">无存档首次打开</x:t>
        </x:is>
      </x:c>
      <x:c r="F5" s="15" t="inlineStr">
        <x:is>
          <x:t xml:space="preserve">首屏只显示「进入世界」；提供续档、新开、设定和 AI 入口；不得误入空 /game/:id</x:t>
        </x:is>
      </x:c>
      <x:c r="G5" s="15" t="inlineStr">
        <x:is>
          <x:t xml:space="preserve">首屏只显示「进入世界」；山门页含续档/新开/世界/AI/跳过设置入口；未误入空 /game/:id</x:t>
        </x:is>
      </x:c>
      <x:c r="H5" s="15" t="inlineStr">
        <x:is>
          <x:t xml:space="preserve">记录现象并截图（不含密钥）→ 填入「失败行与回归」表 → 派 Bird/工程修复 → 修复后只重跑本行及相关回归</x:t>
        </x:is>
      </x:c>
      <x:c r="I5" s="10" t="inlineStr">
        <x:is>
          <x:t xml:space="preserve">通过</x:t>
        </x:is>
      </x:c>
      <x:c r="J5" s="10" t="inlineStr">
        <x:is>
          <x:t xml:space="preserve">row-01-shanmen.png</x:t>
        </x:is>
      </x:c>
      <x:c r="K5" s="10" t="inlineStr">
        <x:is>
          <x:t xml:space="preserve">2026-10-02</x:t>
        </x:is>
      </x:c>
    </x:row>
    <x:row r="6">
      <x:c r="A6" s="14" t="n">
        <x:v>2</x:v>
      </x:c>
      <x:c r="B6" s="15" t="inlineStr">
        <x:is>
          <x:t xml:space="preserve">山门与导航</x:t>
        </x:is>
      </x:c>
      <x:c r="C6" s="15" t="inlineStr">
        <x:is>
          <x:t xml:space="preserve">有档时的续玩入口</x:t>
        </x:is>
      </x:c>
      <x:c r="D6" s="15" t="inlineStr">
        <x:is>
          <x:t xml:space="preserve">/（山门）</x:t>
        </x:is>
      </x:c>
      <x:c r="E6" s="15" t="inlineStr">
        <x:is>
          <x:t xml:space="preserve">建 1 档后返回 /</x:t>
        </x:is>
      </x:c>
      <x:c r="F6" s="15" t="inlineStr">
        <x:is>
          <x:t xml:space="preserve">显示续玩入口，点击回到对应游戏</x:t>
        </x:is>
      </x:c>
      <x:c r="G6" s="15" t="inlineStr">
        <x:is>
          <x:t xml:space="preserve">有档时山门→选择去处显示「继续游玩」，点击回到对应游戏</x:t>
        </x:is>
      </x:c>
      <x:c r="H6" s="15" t="inlineStr">
        <x:is>
          <x:t xml:space="preserve">记录现象并截图（不含密钥）→ 填入「失败行与回归」表 → 派 Bird/工程修复 → 修复后只重跑本行及相关回归</x:t>
        </x:is>
      </x:c>
      <x:c r="I6" s="10" t="inlineStr">
        <x:is>
          <x:t xml:space="preserve">通过</x:t>
        </x:is>
      </x:c>
      <x:c r="J6" s="10" t="inlineStr">
        <x:is>
          <x:t xml:space="preserve">row-02-continue.png</x:t>
        </x:is>
      </x:c>
      <x:c r="K6" s="10" t="inlineStr">
        <x:is>
          <x:t xml:space="preserve">2026-10-02</x:t>
        </x:is>
      </x:c>
    </x:row>
    <x:row r="7">
      <x:c r="A7" s="14" t="n">
        <x:v>3</x:v>
      </x:c>
      <x:c r="B7" s="15" t="inlineStr">
        <x:is>
          <x:t xml:space="preserve">山门与导航</x:t>
        </x:is>
      </x:c>
      <x:c r="C7" s="15" t="inlineStr">
        <x:is>
          <x:t xml:space="preserve">作品简介 page-intro 与跳转</x:t>
        </x:is>
      </x:c>
      <x:c r="D7" s="15" t="inlineStr">
        <x:is>
          <x:t xml:space="preserve">/intro（从 /lobby 打开）</x:t>
        </x:is>
      </x:c>
      <x:c r="E7" s="15" t="inlineStr">
        <x:is>
          <x:t xml:space="preserve">打开简介</x:t>
        </x:is>
      </x:c>
      <x:c r="F7" s="15" t="inlineStr">
        <x:is>
          <x:t xml:space="preserve">旧原文照录；两个按钮分别进入建角和世界页</x:t>
        </x:is>
      </x:c>
      <x:c r="G7" s="15" t="inlineStr">
        <x:is>
          <x:t xml:space="preserve">简介旧原文照录；「创建角色」「查看世界资料」两个按钮分别进入建角与世界页</x:t>
        </x:is>
      </x:c>
      <x:c r="H7" s="15" t="inlineStr">
        <x:is>
          <x:t xml:space="preserve">记录现象并截图（不含密钥）→ 填入「失败行与回归」表 → 派 Bird/工程修复 → 修复后只重跑本行及相关回归</x:t>
        </x:is>
      </x:c>
      <x:c r="I7" s="10" t="inlineStr">
        <x:is>
          <x:t xml:space="preserve">通过</x:t>
        </x:is>
      </x:c>
      <x:c r="J7" s="10" t="inlineStr">
        <x:is>
          <x:t xml:space="preserve">row-03-intro.png</x:t>
        </x:is>
      </x:c>
      <x:c r="K7" s="10" t="inlineStr">
        <x:is>
          <x:t xml:space="preserve">2026-10-02</x:t>
        </x:is>
      </x:c>
    </x:row>
    <x:row r="8">
      <x:c r="A8" s="14" t="n">
        <x:v>4</x:v>
      </x:c>
      <x:c r="B8" s="15" t="inlineStr">
        <x:is>
          <x:t xml:space="preserve">山门与导航</x:t>
        </x:is>
      </x:c>
      <x:c r="C8" s="15" t="inlineStr">
        <x:is>
          <x:t xml:space="preserve">任务选择</x:t>
        </x:is>
      </x:c>
      <x:c r="D8" s="15" t="inlineStr">
        <x:is>
          <x:t xml:space="preserve">/lobby</x:t>
        </x:is>
      </x:c>
      <x:c r="E8" s="15" t="inlineStr">
        <x:is>
          <x:t xml:space="preserve">打开任务选择</x:t>
        </x:is>
      </x:c>
      <x:c r="F8" s="15" t="inlineStr">
        <x:is>
          <x:t xml:space="preserve">任务选择可见；入口短句说明进门后选项</x:t>
        </x:is>
      </x:c>
      <x:c r="G8" s="15" t="inlineStr">
        <x:is>
          <x:t xml:space="preserve">任务选择可见；入口短句说明进门后选项</x:t>
        </x:is>
      </x:c>
      <x:c r="H8" s="15" t="inlineStr">
        <x:is>
          <x:t xml:space="preserve">记录现象并截图（不含密钥）→ 填入「失败行与回归」表 → 派 Bird/工程修复 → 修复后只重跑本行及相关回归</x:t>
        </x:is>
      </x:c>
      <x:c r="I8" s="10" t="inlineStr">
        <x:is>
          <x:t xml:space="preserve">通过</x:t>
        </x:is>
      </x:c>
      <x:c r="J8" s="10" t="inlineStr">
        <x:is>
          <x:t xml:space="preserve">row-04-lobby.png</x:t>
        </x:is>
      </x:c>
      <x:c r="K8" s="10" t="inlineStr">
        <x:is>
          <x:t xml:space="preserve">2026-10-02</x:t>
        </x:is>
      </x:c>
    </x:row>
    <x:row r="9">
      <x:c r="A9" s="14" t="n">
        <x:v>5</x:v>
      </x:c>
      <x:c r="B9" s="15" t="inlineStr">
        <x:is>
          <x:t xml:space="preserve">建角与开局</x:t>
        </x:is>
      </x:c>
      <x:c r="C9" s="15" t="inlineStr">
        <x:is>
          <x:t xml:space="preserve">底栏 dockNew 与「创建角色」跳转</x:t>
        </x:is>
      </x:c>
      <x:c r="D9" s="15" t="inlineStr">
        <x:is>
          <x:t xml:space="preserve">/lobby →「新开一局」</x:t>
        </x:is>
      </x:c>
      <x:c r="E9" s="15" t="inlineStr">
        <x:is>
          <x:t xml:space="preserve">点击新开一局</x:t>
        </x:is>
      </x:c>
      <x:c r="F9" s="15" t="inlineStr">
        <x:is>
          <x:t xml:space="preserve">进入 /new；清楚标出要创建角色并选地域</x:t>
        </x:is>
      </x:c>
      <x:c r="G9" s="15" t="inlineStr">
        <x:is>
          <x:t xml:space="preserve">「新开一局」进入 /new，明确标出创建角色与选地域；返回山门不建档</x:t>
        </x:is>
      </x:c>
      <x:c r="H9" s="15" t="inlineStr">
        <x:is>
          <x:t xml:space="preserve">记录现象并截图（不含密钥）→ 填入「失败行与回归」表 → 派 Bird/工程修复 → 修复后只重跑本行及相关回归</x:t>
        </x:is>
      </x:c>
      <x:c r="I9" s="10" t="inlineStr">
        <x:is>
          <x:t xml:space="preserve">通过</x:t>
        </x:is>
      </x:c>
      <x:c r="J9" s="10" t="inlineStr">
        <x:is>
          <x:t xml:space="preserve">row-05-new-entry.png</x:t>
        </x:is>
      </x:c>
      <x:c r="K9" s="10" t="inlineStr">
        <x:is>
          <x:t xml:space="preserve">2026-10-02</x:t>
        </x:is>
      </x:c>
    </x:row>
    <x:row r="10">
      <x:c r="A10" s="14" t="n">
        <x:v>6</x:v>
      </x:c>
      <x:c r="B10" s="15" t="inlineStr">
        <x:is>
          <x:t xml:space="preserve">建角与开局</x:t>
        </x:is>
      </x:c>
      <x:c r="C10" s="15" t="inlineStr">
        <x:is>
          <x:t xml:space="preserve">十项建角资料（姓名/年龄/性格/身份/修为/灵根/外貌/天赋/补充目标/地域）</x:t>
        </x:is>
      </x:c>
      <x:c r="D10" s="15" t="inlineStr">
        <x:is>
          <x:t xml:space="preserve">/new 分步编辑</x:t>
        </x:is>
      </x:c>
      <x:c r="E10" s="15" t="inlineStr">
        <x:is>
          <x:t xml:space="preserve">逐项填写；故意填 1 个非法值</x:t>
        </x:is>
      </x:c>
      <x:c r="F10" s="15" t="inlineStr">
        <x:is>
          <x:t xml:space="preserve">10 字段+地域可编辑/复核；非法值就地提示且不丢已填内容</x:t>
        </x:is>
      </x:c>
      <x:c r="G10" s="15" t="inlineStr">
        <x:is>
          <x:t xml:space="preserve">10 字段+地域分步可编辑；非法值（天赋超 3 项）提交时就地提示「天赋最多三项」，已填内容未丢失</x:t>
        </x:is>
      </x:c>
      <x:c r="H10" s="15" t="inlineStr">
        <x:is>
          <x:t xml:space="preserve">记录现象并截图（不含密钥）→ 填入「失败行与回归」表 → 派 Bird/工程修复 → 修复后只重跑本行及相关回归</x:t>
        </x:is>
      </x:c>
      <x:c r="I10" s="10" t="inlineStr">
        <x:is>
          <x:t xml:space="preserve">通过</x:t>
        </x:is>
      </x:c>
      <x:c r="J10" s="10" t="inlineStr">
        <x:is>
          <x:t xml:space="preserve">row-06-invalid-value.png</x:t>
        </x:is>
      </x:c>
      <x:c r="K10" s="10" t="inlineStr">
        <x:is>
          <x:t xml:space="preserve">2026-10-02</x:t>
        </x:is>
      </x:c>
    </x:row>
    <x:row r="11">
      <x:c r="A11" s="14" t="n">
        <x:v>7</x:v>
      </x:c>
      <x:c r="B11" s="15" t="inlineStr">
        <x:is>
          <x:t xml:space="preserve">建角与开局</x:t>
        </x:is>
      </x:c>
      <x:c r="C11" s="15" t="inlineStr">
        <x:is>
          <x:t xml:space="preserve">分步编辑与草稿恢复</x:t>
        </x:is>
      </x:c>
      <x:c r="D11" s="15" t="inlineStr">
        <x:is>
          <x:t xml:space="preserve">/new 三步</x:t>
        </x:is>
      </x:c>
      <x:c r="E11" s="15" t="inlineStr">
        <x:is>
          <x:t xml:space="preserve">每步填写后刷新；再试返回山门</x:t>
        </x:is>
      </x:c>
      <x:c r="F11" s="15" t="inlineStr">
        <x:is>
          <x:t xml:space="preserve">刷新后草稿恢复；返回山门不建档；重进草稿仍在；仅成功建档清草稿</x:t>
        </x:is>
      </x:c>
      <x:c r="G11" s="15" t="inlineStr">
        <x:is>
          <x:t xml:space="preserve">刷新后草稿恢复（回到第 1 步但内容保留）；返回山门不建档；重进草稿仍在</x:t>
        </x:is>
      </x:c>
      <x:c r="H11" s="15" t="inlineStr">
        <x:is>
          <x:t xml:space="preserve">记录现象并截图（不含密钥）→ 填入「失败行与回归」表 → 派 Bird/工程修复 → 修复后只重跑本行及相关回归</x:t>
        </x:is>
      </x:c>
      <x:c r="I11" s="10" t="inlineStr">
        <x:is>
          <x:t xml:space="preserve">通过</x:t>
        </x:is>
      </x:c>
      <x:c r="J11" s="10" t="inlineStr">
        <x:is>
          <x:t xml:space="preserve">row-07-draft-recovery.png</x:t>
        </x:is>
      </x:c>
      <x:c r="K11" s="10" t="inlineStr">
        <x:is>
          <x:t xml:space="preserve">2026-10-02</x:t>
        </x:is>
      </x:c>
    </x:row>
    <x:row r="12">
      <x:c r="A12" s="14" t="n">
        <x:v>8</x:v>
      </x:c>
      <x:c r="B12" s="15" t="inlineStr">
        <x:is>
          <x:t xml:space="preserve">建角与开局</x:t>
        </x:is>
      </x:c>
      <x:c r="C12" s="15" t="inlineStr">
        <x:is>
          <x:t xml:space="preserve">提交前摘要</x:t>
        </x:is>
      </x:c>
      <x:c r="D12" s="15" t="inlineStr">
        <x:is>
          <x:t xml:space="preserve">/new 最后一步</x:t>
        </x:is>
      </x:c>
      <x:c r="E12" s="15" t="inlineStr">
        <x:is>
          <x:t xml:space="preserve">查看摘要</x:t>
        </x:is>
      </x:c>
      <x:c r="F12" s="15" t="inlineStr">
        <x:is>
          <x:t xml:space="preserve">十项与地域全部可复核</x:t>
        </x:is>
      </x:c>
      <x:c r="G12" s="15" t="inlineStr">
        <x:is>
          <x:t xml:space="preserve">提交前摘要展示十项与地域，全部可复核；地域切换即时生效</x:t>
        </x:is>
      </x:c>
      <x:c r="H12" s="15" t="inlineStr">
        <x:is>
          <x:t xml:space="preserve">记录现象并截图（不含密钥）→ 填入「失败行与回归」表 → 派 Bird/工程修复 → 修复后只重跑本行及相关回归</x:t>
        </x:is>
      </x:c>
      <x:c r="I12" s="10" t="inlineStr">
        <x:is>
          <x:t xml:space="preserve">通过</x:t>
        </x:is>
      </x:c>
      <x:c r="J12" s="10" t="inlineStr">
        <x:is>
          <x:t xml:space="preserve">row-08-summary.png</x:t>
        </x:is>
      </x:c>
      <x:c r="K12" s="10" t="inlineStr">
        <x:is>
          <x:t xml:space="preserve">2026-10-02</x:t>
        </x:is>
      </x:c>
    </x:row>
    <x:row r="13">
      <x:c r="A13" s="14" t="n">
        <x:v>9</x:v>
      </x:c>
      <x:c r="B13" s="15" t="inlineStr">
        <x:is>
          <x:t xml:space="preserve">建角与开局</x:t>
        </x:is>
      </x:c>
      <x:c r="C13" s="15" t="inlineStr">
        <x:is>
          <x:t xml:space="preserve">普通开局 startNew</x:t>
        </x:is>
      </x:c>
      <x:c r="D13" s="15" t="inlineStr">
        <x:is>
          <x:t xml:space="preserve">/new 最后一步</x:t>
        </x:is>
      </x:c>
      <x:c r="E13" s="15" t="inlineStr">
        <x:is>
          <x:t xml:space="preserve">选普通开局并提交</x:t>
        </x:is>
      </x:c>
      <x:c r="F13" s="15" t="inlineStr">
        <x:is>
          <x:t xml:space="preserve">建档成功进入对应游戏；保留 pending 与创建时间；不重复建局</x:t>
        </x:is>
      </x:c>
      <x:c r="G13" s="15" t="inlineStr">
        <x:is>
          <x:t xml:space="preserve">建档成功进入游戏；pending.source=CHARACTER_START 与创建时间保留；显示待处理项</x:t>
        </x:is>
      </x:c>
      <x:c r="H13" s="15" t="inlineStr">
        <x:is>
          <x:t xml:space="preserve">记录现象并截图（不含密钥）→ 填入「失败行与回归」表 → 派 Bird/工程修复 → 修复后只重跑本行及相关回归</x:t>
        </x:is>
      </x:c>
      <x:c r="I13" s="10" t="inlineStr">
        <x:is>
          <x:t xml:space="preserve">通过</x:t>
        </x:is>
      </x:c>
      <x:c r="J13" s="10" t="inlineStr">
        <x:is>
          <x:t xml:space="preserve">row-09-manual-start.png</x:t>
        </x:is>
      </x:c>
      <x:c r="K13" s="10" t="inlineStr">
        <x:is>
          <x:t xml:space="preserve">2026-10-02</x:t>
        </x:is>
      </x:c>
    </x:row>
    <x:row r="14">
      <x:c r="A14" s="14" t="n">
        <x:v>10</x:v>
      </x:c>
      <x:c r="B14" s="15" t="inlineStr">
        <x:is>
          <x:t xml:space="preserve">建角与开局</x:t>
        </x:is>
      </x:c>
      <x:c r="C14" s="15" t="inlineStr">
        <x:is>
          <x:t xml:space="preserve">随机开局 randomNew</x:t>
        </x:is>
      </x:c>
      <x:c r="D14" s="15" t="inlineStr">
        <x:is>
          <x:t xml:space="preserve">/new 最后一步</x:t>
        </x:is>
      </x:c>
      <x:c r="E14" s="15" t="inlineStr">
        <x:is>
          <x:t xml:space="preserve">选随机开局；再快速连点</x:t>
        </x:is>
      </x:c>
      <x:c r="F14" s="15" t="inlineStr">
        <x:is>
          <x:t xml:space="preserve">建档成功；同一事件循环连点手动/随机仅建一份</x:t>
        </x:is>
      </x:c>
      <x:c r="G14" s="15" t="inlineStr">
        <x:is>
          <x:t xml:space="preserve">随机/手动开局成功；同一事件循环快速连点仅建一份存档</x:t>
        </x:is>
      </x:c>
      <x:c r="H14" s="15" t="inlineStr">
        <x:is>
          <x:t xml:space="preserve">记录现象并截图（不含密钥）→ 填入「失败行与回归」表 → 派 Bird/工程修复 → 修复后只重跑本行及相关回归</x:t>
        </x:is>
      </x:c>
      <x:c r="I14" s="10" t="inlineStr">
        <x:is>
          <x:t xml:space="preserve">通过</x:t>
        </x:is>
      </x:c>
      <x:c r="J14" s="10" t="inlineStr">
        <x:is>
          <x:t xml:space="preserve">row-10-random-start.png</x:t>
        </x:is>
      </x:c>
      <x:c r="K14" s="10" t="inlineStr">
        <x:is>
          <x:t xml:space="preserve">2026-10-02</x:t>
        </x:is>
      </x:c>
    </x:row>
    <x:row r="15">
      <x:c r="A15" s="14" t="n">
        <x:v>11</x:v>
      </x:c>
      <x:c r="B15" s="15" t="inlineStr">
        <x:is>
          <x:t xml:space="preserve">补充资料</x:t>
        </x:is>
      </x:c>
      <x:c r="C15" s="15" t="inlineStr">
        <x:is>
          <x:t xml:space="preserve">导入补充 TXT inheritOld</x:t>
        </x:is>
      </x:c>
      <x:c r="D15" s="15" t="inlineStr">
        <x:is>
          <x:t xml:space="preserve">建角或游戏内「补充资料」</x:t>
        </x:is>
      </x:c>
      <x:c r="E15" s="15" t="inlineStr">
        <x:is>
          <x:t xml:space="preserve">附加 &lt;100KB TXT；再试 &gt;100,000 字节 TXT</x:t>
        </x:is>
      </x:c>
      <x:c r="F15" s="15" t="inlineStr">
        <x:is>
          <x:t xml:space="preserve">小于阈值可附加不替换；超限（100,001 字节起）拒绝并保留文件；空文件选择不写入</x:t>
        </x:is>
      </x:c>
      <x:c r="G15" s="15" t="inlineStr">
        <x:is>
          <x:t xml:space="preserve">100,000 字节可附加、100,001 字节拒绝并保留原档、附加不替换旧内容</x:t>
        </x:is>
      </x:c>
      <x:c r="H15" s="15" t="inlineStr">
        <x:is>
          <x:t xml:space="preserve">记录现象并截图（不含密钥）→ 填入「失败行与回归」表 → 派 Bird/工程修复 → 修复后只重跑本行及相关回归</x:t>
        </x:is>
      </x:c>
      <x:c r="I15" s="10" t="inlineStr">
        <x:is>
          <x:t xml:space="preserve">通过</x:t>
        </x:is>
      </x:c>
      <x:c r="J15" s="10" t="inlineStr">
        <x:is>
          <x:t xml:space="preserve">row-11-supplement.png</x:t>
        </x:is>
      </x:c>
      <x:c r="K15" s="10" t="inlineStr">
        <x:is>
          <x:t xml:space="preserve">2026-10-02</x:t>
        </x:is>
      </x:c>
    </x:row>
    <x:row r="16">
      <x:c r="A16" s="14" t="n">
        <x:v>12</x:v>
      </x:c>
      <x:c r="B16" s="15" t="inlineStr">
        <x:is>
          <x:t xml:space="preserve">世界书</x:t>
        </x:is>
      </x:c>
      <x:c r="C16" s="15" t="inlineStr">
        <x:is>
          <x:t xml:space="preserve">世界设定 page-world / dockWorld</x:t>
        </x:is>
      </x:c>
      <x:c r="D16" s="15" t="inlineStr">
        <x:is>
          <x:t xml:space="preserve">/world</x:t>
        </x:is>
      </x:c>
      <x:c r="E16" s="15" t="inlineStr">
        <x:is>
          <x:t xml:space="preserve">打开世界页</x:t>
        </x:is>
      </x:c>
      <x:c r="F16" s="15" t="inlineStr">
        <x:is>
          <x:t xml:space="preserve">首屏见标题与索引；未发布内容明确告知，不以宣传文案代替</x:t>
        </x:is>
      </x:c>
      <x:c r="G16" s="15" t="inlineStr">
        <x:is>
          <x:t xml:space="preserve">首屏见标题与索引；明示当前公开 Canon 34 条边界</x:t>
        </x:is>
      </x:c>
      <x:c r="H16" s="15" t="inlineStr">
        <x:is>
          <x:t xml:space="preserve">记录现象并截图（不含密钥）→ 填入「失败行与回归」表 → 派 Bird/工程修复 → 修复后只重跑本行及相关回归</x:t>
        </x:is>
      </x:c>
      <x:c r="I16" s="10" t="inlineStr">
        <x:is>
          <x:t xml:space="preserve">通过</x:t>
        </x:is>
      </x:c>
      <x:c r="J16" s="10" t="inlineStr">
        <x:is>
          <x:t xml:space="preserve">row-12-world.png</x:t>
        </x:is>
      </x:c>
      <x:c r="K16" s="10" t="inlineStr">
        <x:is>
          <x:t xml:space="preserve">2026-10-02</x:t>
        </x:is>
      </x:c>
    </x:row>
    <x:row r="17">
      <x:c r="A17" s="14" t="n">
        <x:v>13</x:v>
      </x:c>
      <x:c r="B17" s="15" t="inlineStr">
        <x:is>
          <x:t xml:space="preserve">世界书</x:t>
        </x:is>
      </x:c>
      <x:c r="C17" s="15" t="inlineStr">
        <x:is>
          <x:t xml:space="preserve">世界资料搜索</x:t>
        </x:is>
      </x:c>
      <x:c r="D17" s="15" t="inlineStr">
        <x:is>
          <x:t xml:space="preserve">/world 搜索框</x:t>
        </x:is>
      </x:c>
      <x:c r="E17" s="15" t="inlineStr">
        <x:is>
          <x:t xml:space="preserve">搜 1 个存在的词条 + 1 个不存在的词条</x:t>
        </x:is>
      </x:c>
      <x:c r="F17" s="15" t="inlineStr">
        <x:is>
          <x:t xml:space="preserve">有结果可定位；无结果清楚提示</x:t>
        </x:is>
      </x:c>
      <x:c r="G17" s="15" t="inlineStr">
        <x:is>
          <x:t xml:space="preserve">存在词条可定位；不存在词条显示空结果提示（待校内容不入公开搜索）；LYL 报告搜索感知问题，复测见失败行 F-05</x:t>
        </x:is>
      </x:c>
      <x:c r="H17" s="15" t="inlineStr">
        <x:is>
          <x:t xml:space="preserve">记录现象并截图（不含密钥）→ 填入「失败行与回归」表 → 派 Bird/工程修复 → 修复后只重跑本行及相关回归</x:t>
        </x:is>
      </x:c>
      <x:c r="I17" s="10" t="inlineStr">
        <x:is>
          <x:t xml:space="preserve">通过</x:t>
        </x:is>
      </x:c>
      <x:c r="J17" s="10" t="inlineStr">
        <x:is>
          <x:t xml:space="preserve">row-13-world-search.png</x:t>
        </x:is>
      </x:c>
      <x:c r="K17" s="10" t="inlineStr">
        <x:is>
          <x:t xml:space="preserve">2026-10-02</x:t>
        </x:is>
      </x:c>
    </x:row>
    <x:row r="18">
      <x:c r="A18" s="14" t="n">
        <x:v>14</x:v>
      </x:c>
      <x:c r="B18" s="15" t="inlineStr">
        <x:is>
          <x:t xml:space="preserve">世界书</x:t>
        </x:is>
      </x:c>
      <x:c r="C18" s="15" t="inlineStr">
        <x:is>
          <x:t xml:space="preserve">世界资料来源 viewSource</x:t>
        </x:is>
      </x:c>
      <x:c r="D18" s="15" t="inlineStr">
        <x:is>
          <x:t xml:space="preserve">/world 来源说明</x:t>
        </x:is>
      </x:c>
      <x:c r="E18" s="15" t="inlineStr">
        <x:is>
          <x:t xml:space="preserve">打开来源</x:t>
        </x:is>
      </x:c>
      <x:c r="F18" s="15" t="inlineStr">
        <x:is>
          <x:t xml:space="preserve">来源/审阅说明可见；不把旧模板误称完整原卡</x:t>
        </x:is>
      </x:c>
      <x:c r="G18" s="15" t="inlineStr">
        <x:is>
          <x:t xml:space="preserve">来源/审阅说明可见；不暴露内部来源 ID，不把旧模板误称完整原卡</x:t>
        </x:is>
      </x:c>
      <x:c r="H18" s="15" t="inlineStr">
        <x:is>
          <x:t xml:space="preserve">记录现象并截图（不含密钥）→ 填入「失败行与回归」表 → 派 Bird/工程修复 → 修复后只重跑本行及相关回归</x:t>
        </x:is>
      </x:c>
      <x:c r="I18" s="10" t="inlineStr">
        <x:is>
          <x:t xml:space="preserve">通过</x:t>
        </x:is>
      </x:c>
      <x:c r="J18" s="10" t="inlineStr">
        <x:is>
          <x:t xml:space="preserve">row-14-world-source.png</x:t>
        </x:is>
      </x:c>
      <x:c r="K18" s="10" t="inlineStr">
        <x:is>
          <x:t xml:space="preserve">2026-10-02</x:t>
        </x:is>
      </x:c>
    </x:row>
    <x:row r="19">
      <x:c r="A19" s="14" t="n">
        <x:v>15</x:v>
      </x:c>
      <x:c r="B19" s="15" t="inlineStr">
        <x:is>
          <x:t xml:space="preserve">世界书</x:t>
        </x:is>
      </x:c>
      <x:c r="C19" s="15" t="inlineStr">
        <x:is>
          <x:t xml:space="preserve">阅读位置往返</x:t>
        </x:is>
      </x:c>
      <x:c r="D19" s="15" t="inlineStr">
        <x:is>
          <x:t xml:space="preserve">世界页 ↔ 游戏</x:t>
        </x:is>
      </x:c>
      <x:c r="E19" s="15" t="inlineStr">
        <x:is>
          <x:t xml:space="preserve">进入阅读 → 返回 → 再进</x:t>
        </x:is>
      </x:c>
      <x:c r="F19" s="15" t="inlineStr">
        <x:is>
          <x:t xml:space="preserve">回到同一剧情与滚动位置</x:t>
        </x:is>
      </x:c>
      <x:c r="G19" s="15" t="inlineStr">
        <x:is>
          <x:t xml:space="preserve">世界页↔游戏往返后回到同一剧情与滚动位置</x:t>
        </x:is>
      </x:c>
      <x:c r="H19" s="15" t="inlineStr">
        <x:is>
          <x:t xml:space="preserve">记录现象并截图（不含密钥）→ 填入「失败行与回归」表 → 派 Bird/工程修复 → 修复后只重跑本行及相关回归</x:t>
        </x:is>
      </x:c>
      <x:c r="I19" s="10" t="inlineStr">
        <x:is>
          <x:t xml:space="preserve">通过</x:t>
        </x:is>
      </x:c>
      <x:c r="J19" s="10" t="inlineStr">
        <x:is>
          <x:t xml:space="preserve">row-15-reading-roundtrip.png</x:t>
        </x:is>
      </x:c>
      <x:c r="K19" s="10" t="inlineStr">
        <x:is>
          <x:t xml:space="preserve">2026-10-02</x:t>
        </x:is>
      </x:c>
    </x:row>
    <x:row r="20">
      <x:c r="A20" s="14" t="n">
        <x:v>16</x:v>
      </x:c>
      <x:c r="B20" s="15" t="inlineStr">
        <x:is>
          <x:t xml:space="preserve">游戏区与面板</x:t>
        </x:is>
      </x:c>
      <x:c r="C20" s="15" t="inlineStr">
        <x:is>
          <x:t xml:space="preserve">角色状态 statusPane</x:t>
        </x:is>
      </x:c>
      <x:c r="D20" s="15" t="inlineStr">
        <x:is>
          <x:t xml:space="preserve">/game/:id 侧面板</x:t>
        </x:is>
      </x:c>
      <x:c r="E20" s="15" t="inlineStr">
        <x:is>
          <x:t xml:space="preserve">打开面板</x:t>
        </x:is>
      </x:c>
      <x:c r="F20" s="15" t="inlineStr">
        <x:is>
          <x:t xml:space="preserve">当前角色映射与旧档字段显示；空值有解释</x:t>
        </x:is>
      </x:c>
      <x:c r="G20" s="15" t="inlineStr">
        <x:is>
          <x:t xml:space="preserve">角色状态面板打开，显示当前角色映射与旧档字段，空值有解释；LYL 报告面板 JSON 观感问题，见失败行 F-04</x:t>
        </x:is>
      </x:c>
      <x:c r="H20" s="15" t="inlineStr">
        <x:is>
          <x:t xml:space="preserve">记录现象并截图（不含密钥）→ 填入「失败行与回归」表 → 派 Bird/工程修复 → 修复后只重跑本行及相关回归</x:t>
        </x:is>
      </x:c>
      <x:c r="I20" s="10" t="inlineStr">
        <x:is>
          <x:t xml:space="preserve">通过</x:t>
        </x:is>
      </x:c>
      <x:c r="J20" s="10" t="inlineStr">
        <x:is>
          <x:t xml:space="preserve">row-16-status-panel.png</x:t>
        </x:is>
      </x:c>
      <x:c r="K20" s="10" t="inlineStr">
        <x:is>
          <x:t xml:space="preserve">2026-10-02</x:t>
        </x:is>
      </x:c>
    </x:row>
    <x:row r="21">
      <x:c r="A21" s="14" t="n">
        <x:v>17</x:v>
      </x:c>
      <x:c r="B21" s="15" t="inlineStr">
        <x:is>
          <x:t xml:space="preserve">游戏区与面板</x:t>
        </x:is>
      </x:c>
      <x:c r="C21" s="15" t="inlineStr">
        <x:is>
          <x:t xml:space="preserve">综合情报 intelPane</x:t>
        </x:is>
      </x:c>
      <x:c r="D21" s="15" t="inlineStr">
        <x:is>
          <x:t xml:space="preserve">/game/:id 侧面板</x:t>
        </x:is>
      </x:c>
      <x:c r="E21" s="15" t="inlineStr">
        <x:is>
          <x:t xml:space="preserve">打开面板</x:t>
        </x:is>
      </x:c>
      <x:c r="F21" s="15" t="inlineStr">
        <x:is>
          <x:t xml:space="preserve">世界/情报字段显示；空值有解释</x:t>
        </x:is>
      </x:c>
      <x:c r="G21" s="15" t="inlineStr">
        <x:is>
          <x:t xml:space="preserve">综合情报面板显示世界/情报字段，空值有解释；见失败行 F-04</x:t>
        </x:is>
      </x:c>
      <x:c r="H21" s="15" t="inlineStr">
        <x:is>
          <x:t xml:space="preserve">记录现象并截图（不含密钥）→ 填入「失败行与回归」表 → 派 Bird/工程修复 → 修复后只重跑本行及相关回归</x:t>
        </x:is>
      </x:c>
      <x:c r="I21" s="10" t="inlineStr">
        <x:is>
          <x:t xml:space="preserve">通过</x:t>
        </x:is>
      </x:c>
      <x:c r="J21" s="10" t="inlineStr">
        <x:is>
          <x:t xml:space="preserve">row-17-intel-panel.png</x:t>
        </x:is>
      </x:c>
      <x:c r="K21" s="10" t="inlineStr">
        <x:is>
          <x:t xml:space="preserve">2026-10-02</x:t>
        </x:is>
      </x:c>
    </x:row>
    <x:row r="22">
      <x:c r="A22" s="14" t="n">
        <x:v>18</x:v>
      </x:c>
      <x:c r="B22" s="15" t="inlineStr">
        <x:is>
          <x:t xml:space="preserve">游戏区与面板</x:t>
        </x:is>
      </x:c>
      <x:c r="C22" s="15" t="inlineStr">
        <x:is>
          <x:t xml:space="preserve">星记忆 memoryPane（stm/ltm/旧版记忆）</x:t>
        </x:is>
      </x:c>
      <x:c r="D22" s="15" t="inlineStr">
        <x:is>
          <x:t xml:space="preserve">/game/:id 侧面板</x:t>
        </x:is>
      </x:c>
      <x:c r="E22" s="15" t="inlineStr">
        <x:is>
          <x:t xml:space="preserve">打开面板</x:t>
        </x:is>
      </x:c>
      <x:c r="F22" s="15" t="inlineStr">
        <x:is>
          <x:t xml:space="preserve">短期/长期/旧版记忆字段显示</x:t>
        </x:is>
      </x:c>
      <x:c r="G22" s="15" t="inlineStr">
        <x:is>
          <x:t xml:space="preserve">星记忆面板显示短期/长期/旧版记忆字段；见失败行 F-04</x:t>
        </x:is>
      </x:c>
      <x:c r="H22" s="15" t="inlineStr">
        <x:is>
          <x:t xml:space="preserve">记录现象并截图（不含密钥）→ 填入「失败行与回归」表 → 派 Bird/工程修复 → 修复后只重跑本行及相关回归</x:t>
        </x:is>
      </x:c>
      <x:c r="I22" s="10" t="inlineStr">
        <x:is>
          <x:t xml:space="preserve">通过</x:t>
        </x:is>
      </x:c>
      <x:c r="J22" s="10" t="inlineStr">
        <x:is>
          <x:t xml:space="preserve">row-18-memory-panel.png</x:t>
        </x:is>
      </x:c>
      <x:c r="K22" s="10" t="inlineStr">
        <x:is>
          <x:t xml:space="preserve">2026-10-02</x:t>
        </x:is>
      </x:c>
    </x:row>
    <x:row r="23">
      <x:c r="A23" s="14" t="n">
        <x:v>19</x:v>
      </x:c>
      <x:c r="B23" s="15" t="inlineStr">
        <x:is>
          <x:t xml:space="preserve">游戏区与面板</x:t>
        </x:is>
      </x:c>
      <x:c r="C23" s="15" t="inlineStr">
        <x:is>
          <x:t xml:space="preserve">剧情历史 messages</x:t>
        </x:is>
      </x:c>
      <x:c r="D23" s="15" t="inlineStr">
        <x:is>
          <x:t xml:space="preserve">/game/:id 剧情区</x:t>
        </x:is>
      </x:c>
      <x:c r="E23" s="15" t="inlineStr">
        <x:is>
          <x:t xml:space="preserve">打开剧情区</x:t>
        </x:is>
      </x:c>
      <x:c r="F23" s="15" t="inlineStr">
        <x:is>
          <x:t xml:space="preserve">最近 80 条可解析文字；多模态/早期消息留存于历史核对区；历史不重写</x:t>
        </x:is>
      </x:c>
      <x:c r="G23" s="15" t="inlineStr">
        <x:is>
          <x:t xml:space="preserve">剧情历史可解析显示；旧 payload/历史核对区保留早期消息；历史不重写（80 条上限行为由 E2E 覆盖）</x:t>
        </x:is>
      </x:c>
      <x:c r="H23" s="15" t="inlineStr">
        <x:is>
          <x:t xml:space="preserve">记录现象并截图（不含密钥）→ 填入「失败行与回归」表 → 派 Bird/工程修复 → 修复后只重跑本行及相关回归</x:t>
        </x:is>
      </x:c>
      <x:c r="I23" s="10" t="inlineStr">
        <x:is>
          <x:t xml:space="preserve">通过</x:t>
        </x:is>
      </x:c>
      <x:c r="J23" s="10" t="inlineStr">
        <x:is>
          <x:t xml:space="preserve">row-19-messages.png</x:t>
        </x:is>
      </x:c>
      <x:c r="K23" s="10" t="inlineStr">
        <x:is>
          <x:t xml:space="preserve">2026-10-02</x:t>
        </x:is>
      </x:c>
    </x:row>
    <x:row r="24">
      <x:c r="A24" s="14" t="n">
        <x:v>20</x:v>
      </x:c>
      <x:c r="B24" s="15" t="inlineStr">
        <x:is>
          <x:t xml:space="preserve">游戏区与面板</x:t>
        </x:is>
      </x:c>
      <x:c r="C24" s="15" t="inlineStr">
        <x:is>
          <x:t xml:space="preserve">三个面板开关往返</x:t>
        </x:is>
      </x:c>
      <x:c r="D24" s="15" t="inlineStr">
        <x:is>
          <x:t xml:space="preserve">/game/:id</x:t>
        </x:is>
      </x:c>
      <x:c r="E24" s="15" t="inlineStr">
        <x:is>
          <x:t xml:space="preserve">开 → 关 → 开</x:t>
        </x:is>
      </x:c>
      <x:c r="F24" s="15" t="inlineStr">
        <x:is>
          <x:t xml:space="preserve">从剧情打开、关闭并回原阅读点</x:t>
        </x:is>
      </x:c>
      <x:c r="G24" s="15" t="inlineStr">
        <x:is>
          <x:t xml:space="preserve">从剧情打开面板→关闭→回原阅读点（滚动位置保持）；关闭后 scrollTop=24</x:t>
        </x:is>
      </x:c>
      <x:c r="H24" s="15" t="inlineStr">
        <x:is>
          <x:t xml:space="preserve">记录现象并截图（不含密钥）→ 填入「失败行与回归」表 → 派 Bird/工程修复 → 修复后只重跑本行及相关回归</x:t>
        </x:is>
      </x:c>
      <x:c r="I24" s="10" t="inlineStr">
        <x:is>
          <x:t xml:space="preserve">通过</x:t>
        </x:is>
      </x:c>
      <x:c r="J24" s="10" t="inlineStr">
        <x:is>
          <x:t xml:space="preserve">row-20-panel-roundtrip.png</x:t>
        </x:is>
      </x:c>
      <x:c r="K24" s="10" t="inlineStr">
        <x:is>
          <x:t xml:space="preserve">2026-10-02</x:t>
        </x:is>
      </x:c>
    </x:row>
    <x:row r="25">
      <x:c r="A25" s="14" t="n">
        <x:v>21</x:v>
      </x:c>
      <x:c r="B25" s="15" t="inlineStr">
        <x:is>
          <x:t xml:space="preserve">行动与回合</x:t>
        </x:is>
      </x:c>
      <x:c r="C25" s="15" t="inlineStr">
        <x:is>
          <x:t xml:space="preserve">行动输入与 pending 队列</x:t>
        </x:is>
      </x:c>
      <x:c r="D25" s="15" t="inlineStr">
        <x:is>
          <x:t xml:space="preserve">/game/:id 行动区</x:t>
        </x:is>
      </x:c>
      <x:c r="E25" s="15" t="inlineStr">
        <x:is>
          <x:t xml:space="preserve">提交 1 条行动后刷新</x:t>
        </x:is>
      </x:c>
      <x:c r="F25" s="15" t="inlineStr">
        <x:is>
          <x:t xml:space="preserve">行动进入待处理队列；刷新后仍有；不伪装结算成功</x:t>
        </x:is>
      </x:c>
      <x:c r="G25" s="15" t="inlineStr">
        <x:is>
          <x:t xml:space="preserve">行动进入待处理队列；刷新后仍在；界面明示不伪装结算成功</x:t>
        </x:is>
      </x:c>
      <x:c r="H25" s="15" t="inlineStr">
        <x:is>
          <x:t xml:space="preserve">记录现象并截图（不含密钥）→ 填入「失败行与回归」表 → 派 Bird/工程修复 → 修复后只重跑本行及相关回归</x:t>
        </x:is>
      </x:c>
      <x:c r="I25" s="10" t="inlineStr">
        <x:is>
          <x:t xml:space="preserve">通过</x:t>
        </x:is>
      </x:c>
      <x:c r="J25" s="10" t="inlineStr">
        <x:is>
          <x:t xml:space="preserve">row-21-pending.png</x:t>
        </x:is>
      </x:c>
      <x:c r="K25" s="10" t="inlineStr">
        <x:is>
          <x:t xml:space="preserve">2026-10-02</x:t>
        </x:is>
      </x:c>
    </x:row>
    <x:row r="26">
      <x:c r="A26" s="14" t="n">
        <x:v>22</x:v>
      </x:c>
      <x:c r="B26" s="15" t="inlineStr">
        <x:is>
          <x:t xml:space="preserve">行动与回合</x:t>
        </x:is>
      </x:c>
      <x:c r="C26" s="15" t="inlineStr">
        <x:is>
          <x:t xml:space="preserve">行动建议按钮 / GM 覆盖 / runTurn</x:t>
        </x:is>
      </x:c>
      <x:c r="D26" s="15" t="inlineStr">
        <x:is>
          <x:t xml:space="preserve">旧行动区对应位置</x:t>
        </x:is>
      </x:c>
      <x:c r="E26" s="15" t="inlineStr">
        <x:is>
          <x:t xml:space="preserve">查看游戏区</x:t>
        </x:is>
      </x:c>
      <x:c r="F26" s="15" t="inlineStr">
        <x:is>
          <x:t xml:space="preserve">未迁移项禁用或明示，不伪装成功（未迁移属预期，可记「不适用」+备注理由）</x:t>
        </x:is>
      </x:c>
      <x:c r="G26" s="15" t="inlineStr">
        <x:is>
          <x:t xml:space="preserve">旧行动建议/GM 覆盖/runTurn 未迁移属预期；行动区明示「本地草稿 · 规则结算尚未接入」，只入待处理队列不伪装成功；界面原文：此刻欲行何事 本地草稿 · 规则结算尚未接入 · 2 项待处理 收入待处理</x:t>
        </x:is>
      </x:c>
      <x:c r="H26" s="15" t="inlineStr">
        <x:is>
          <x:t xml:space="preserve">记录现象并截图（不含密钥）→ 填入「失败行与回归」表 → 派 Bird/工程修复 → 修复后只重跑本行及相关回归</x:t>
        </x:is>
      </x:c>
      <x:c r="I26" s="10" t="inlineStr">
        <x:is>
          <x:t xml:space="preserve">不适用</x:t>
        </x:is>
      </x:c>
      <x:c r="J26" s="10" t="inlineStr">
        <x:is>
          <x:t xml:space="preserve">row-22-action-area.png</x:t>
        </x:is>
      </x:c>
      <x:c r="K26" s="10" t="inlineStr">
        <x:is>
          <x:t xml:space="preserve">2026-10-02</x:t>
        </x:is>
      </x:c>
    </x:row>
    <x:row r="27">
      <x:c r="A27" s="14" t="n">
        <x:v>23</x:v>
      </x:c>
      <x:c r="B27" s="15" t="inlineStr">
        <x:is>
          <x:t xml:space="preserve">存档管理</x:t>
        </x:is>
      </x:c>
      <x:c r="C27" s="15" t="inlineStr">
        <x:is>
          <x:t xml:space="preserve">存档列表与继续</x:t>
        </x:is>
      </x:c>
      <x:c r="D27" s="15" t="inlineStr">
        <x:is>
          <x:t xml:space="preserve">/lobby 续档 + /game/:id 存档面板</x:t>
        </x:is>
      </x:c>
      <x:c r="E27" s="15" t="inlineStr">
        <x:is>
          <x:t xml:space="preserve">保存 → 刷新</x:t>
        </x:is>
      </x:c>
      <x:c r="F27" s="15" t="inlineStr">
        <x:is>
          <x:t xml:space="preserve">刷新仍见相同回合；不存在的 ID 显示恢复路径</x:t>
        </x:is>
      </x:c>
      <x:c r="G27" s="15" t="inlineStr">
        <x:is>
          <x:t xml:space="preserve">保存→刷新仍见相同回合；不存在的 ID 显示「找不到这份存档」并提供回到首页恢复路径；存档版本=0</x:t>
        </x:is>
      </x:c>
      <x:c r="H27" s="15" t="inlineStr">
        <x:is>
          <x:t xml:space="preserve">记录现象并截图（不含密钥）→ 填入「失败行与回归」表 → 派 Bird/工程修复 → 修复后只重跑本行及相关回归</x:t>
        </x:is>
      </x:c>
      <x:c r="I27" s="10" t="inlineStr">
        <x:is>
          <x:t xml:space="preserve">通过</x:t>
        </x:is>
      </x:c>
      <x:c r="J27" s="10" t="inlineStr">
        <x:is>
          <x:t xml:space="preserve">row-23-save-list.png</x:t>
        </x:is>
      </x:c>
      <x:c r="K27" s="10" t="inlineStr">
        <x:is>
          <x:t xml:space="preserve">2026-10-02</x:t>
        </x:is>
      </x:c>
    </x:row>
    <x:row r="28">
      <x:c r="A28" s="14" t="n">
        <x:v>24</x:v>
      </x:c>
      <x:c r="B28" s="15" t="inlineStr">
        <x:is>
          <x:t xml:space="preserve">存档管理</x:t>
        </x:is>
      </x:c>
      <x:c r="C28" s="15" t="inlineStr">
        <x:is>
          <x:t xml:space="preserve">存档改名</x:t>
        </x:is>
      </x:c>
      <x:c r="D28" s="15" t="inlineStr">
        <x:is>
          <x:t xml:space="preserve">存档面板</x:t>
        </x:is>
      </x:c>
      <x:c r="E28" s="15" t="inlineStr">
        <x:is>
          <x:t xml:space="preserve">改名 → 刷新；再试取消改名</x:t>
        </x:is>
      </x:c>
      <x:c r="F28" s="15" t="inlineStr">
        <x:is>
          <x:t xml:space="preserve">新名保留；取消不写入；写失败后镜像逐字保全</x:t>
        </x:is>
      </x:c>
      <x:c r="G28" s="15" t="inlineStr">
        <x:is>
          <x:t xml:space="preserve">改名保留（刷新后仍在）；取消不写入；写失败保全由既有 E2E 回归覆盖</x:t>
        </x:is>
      </x:c>
      <x:c r="H28" s="15" t="inlineStr">
        <x:is>
          <x:t xml:space="preserve">记录现象并截图（不含密钥）→ 填入「失败行与回归」表 → 派 Bird/工程修复 → 修复后只重跑本行及相关回归</x:t>
        </x:is>
      </x:c>
      <x:c r="I28" s="10" t="inlineStr">
        <x:is>
          <x:t xml:space="preserve">通过</x:t>
        </x:is>
      </x:c>
      <x:c r="J28" s="10" t="inlineStr">
        <x:is>
          <x:t xml:space="preserve">row-24-rename.png</x:t>
        </x:is>
      </x:c>
      <x:c r="K28" s="10" t="inlineStr">
        <x:is>
          <x:t xml:space="preserve">2026-10-02</x:t>
        </x:is>
      </x:c>
    </x:row>
    <x:row r="29">
      <x:c r="A29" s="14" t="n">
        <x:v>25</x:v>
      </x:c>
      <x:c r="B29" s="15" t="inlineStr">
        <x:is>
          <x:t xml:space="preserve">存档管理</x:t>
        </x:is>
      </x:c>
      <x:c r="C29" s="15" t="inlineStr">
        <x:is>
          <x:t xml:space="preserve">本地确认删除</x:t>
        </x:is>
      </x:c>
      <x:c r="D29" s="15" t="inlineStr">
        <x:is>
          <x:t xml:space="preserve">存档面板</x:t>
        </x:is>
      </x:c>
      <x:c r="E29" s="15" t="inlineStr">
        <x:is>
          <x:t xml:space="preserve">输完整名称删除；再试输错名</x:t>
        </x:is>
      </x:c>
      <x:c r="F29" s="15" t="inlineStr">
        <x:is>
          <x:t xml:space="preserve">匹配才删；不匹配拒绝且原档保全；取消与刷新保留原档</x:t>
        </x:is>
      </x:c>
      <x:c r="G29" s="15" t="inlineStr">
        <x:is>
          <x:t xml:space="preserve">匹配才删；输错名禁用且原档保全；取消与刷新保留原档</x:t>
        </x:is>
      </x:c>
      <x:c r="H29" s="15" t="inlineStr">
        <x:is>
          <x:t xml:space="preserve">记录现象并截图（不含密钥）→ 填入「失败行与回归」表 → 派 Bird/工程修复 → 修复后只重跑本行及相关回归</x:t>
        </x:is>
      </x:c>
      <x:c r="I29" s="10" t="inlineStr">
        <x:is>
          <x:t xml:space="preserve">通过</x:t>
        </x:is>
      </x:c>
      <x:c r="J29" s="10" t="inlineStr">
        <x:is>
          <x:t xml:space="preserve">row-25-delete.png</x:t>
        </x:is>
      </x:c>
      <x:c r="K29" s="10" t="inlineStr">
        <x:is>
          <x:t xml:space="preserve">2026-10-02</x:t>
        </x:is>
      </x:c>
    </x:row>
    <x:row r="30">
      <x:c r="A30" s="14" t="n">
        <x:v>26</x:v>
      </x:c>
      <x:c r="B30" s="15" t="inlineStr">
        <x:is>
          <x:t xml:space="preserve">导入导出与恢复</x:t>
        </x:is>
      </x:c>
      <x:c r="C30" s="15" t="inlineStr">
        <x:is>
          <x:t xml:space="preserve">导入向导 dockImport（原生 JSON/旧对话 JSON/TXT/HTML）</x:t>
        </x:is>
      </x:c>
      <x:c r="D30" s="15" t="inlineStr">
        <x:is>
          <x:t xml:space="preserve">/ 导入向导与游戏内同一动作</x:t>
        </x:is>
      </x:c>
      <x:c r="E30" s="15" t="inlineStr">
        <x:is>
          <x:t xml:space="preserve">各导入 1 个合法样本</x:t>
        </x:is>
      </x:c>
      <x:c r="F30" s="15" t="inlineStr">
        <x:is>
          <x:t xml:space="preserve">识别格式并预览实际字段；逐字保存导入原文</x:t>
        </x:is>
      </x:c>
      <x:c r="G30" s="15" t="inlineStr">
        <x:is>
          <x:t xml:space="preserve">旧对话 JSON 导入：识别格式、预览实际字段、导入前逐字备份原文（原生 JSON/TXT/HTML 走查见备注）；TXT/HTML 与原生 JSON 样本由既有 E2E 覆盖（tests/e2e/foundation.cjs）；补充实测：原生 JSON/TXT/HTML 三种格式均识别预览、导入前备份逐字节一致、HTML 内嵌脚本未执行、TXT 正文进入剧情</x:t>
        </x:is>
      </x:c>
      <x:c r="H30" s="15" t="inlineStr">
        <x:is>
          <x:t xml:space="preserve">记录现象并截图（不含密钥）→ 填入「失败行与回归」表 → 派 Bird/工程修复 → 修复后只重跑本行及相关回归</x:t>
        </x:is>
      </x:c>
      <x:c r="I30" s="10" t="inlineStr">
        <x:is>
          <x:t xml:space="preserve">通过</x:t>
        </x:is>
      </x:c>
      <x:c r="J30" s="10" t="inlineStr">
        <x:is>
          <x:t xml:space="preserve">row-26-import-wizard.png、row-26b-native-json.png、row-26b-txt.png、row-26b-html.png</x:t>
        </x:is>
      </x:c>
      <x:c r="K30" s="10" t="inlineStr">
        <x:is>
          <x:t xml:space="preserve">2026-10-02</x:t>
        </x:is>
      </x:c>
    </x:row>
    <x:row r="31">
      <x:c r="A31" s="14" t="n">
        <x:v>27</x:v>
      </x:c>
      <x:c r="B31" s="15" t="inlineStr">
        <x:is>
          <x:t xml:space="preserve">导入导出与恢复</x:t>
        </x:is>
      </x:c>
      <x:c r="C31" s="15" t="inlineStr">
        <x:is>
          <x:t xml:space="preserve">损坏/超限导入</x:t>
        </x:is>
      </x:c>
      <x:c r="D31" s="15" t="inlineStr">
        <x:is>
          <x:t xml:space="preserve">同上</x:t>
        </x:is>
      </x:c>
      <x:c r="E31" s="15" t="inlineStr">
        <x:is>
          <x:t xml:space="preserve">导入 1 个坏 JSON；1 个 &gt;20MiB 文件</x:t>
        </x:is>
      </x:c>
      <x:c r="F31" s="15" t="inlineStr">
        <x:is>
          <x:t xml:space="preserve">明确拒绝；下载原文件备份；已有存档与镜像不变；HTML 内脚本不执行</x:t>
        </x:is>
      </x:c>
      <x:c r="G31" s="15" t="inlineStr">
        <x:is>
          <x:t xml:space="preserve">坏 JSON 明确拒绝并下载原文件备份；&gt;20MiB 拒绝；已有存档不变</x:t>
        </x:is>
      </x:c>
      <x:c r="H31" s="15" t="inlineStr">
        <x:is>
          <x:t xml:space="preserve">记录现象并截图（不含密钥）→ 填入「失败行与回归」表 → 派 Bird/工程修复 → 修复后只重跑本行及相关回归</x:t>
        </x:is>
      </x:c>
      <x:c r="I31" s="10" t="inlineStr">
        <x:is>
          <x:t xml:space="preserve">通过</x:t>
        </x:is>
      </x:c>
      <x:c r="J31" s="10" t="inlineStr">
        <x:is>
          <x:t xml:space="preserve">row-27-import-reject.png</x:t>
        </x:is>
      </x:c>
      <x:c r="K31" s="10" t="inlineStr">
        <x:is>
          <x:t xml:space="preserve">2026-10-02</x:t>
        </x:is>
      </x:c>
    </x:row>
    <x:row r="32">
      <x:c r="A32" s="14" t="n">
        <x:v>28</x:v>
      </x:c>
      <x:c r="B32" s="15" t="inlineStr">
        <x:is>
          <x:t xml:space="preserve">导入导出与恢复</x:t>
        </x:is>
      </x:c>
      <x:c r="C32" s="15" t="inlineStr">
        <x:is>
          <x:t xml:space="preserve">导出 dockExport</x:t>
        </x:is>
      </x:c>
      <x:c r="D32" s="15" t="inlineStr">
        <x:is>
          <x:t xml:space="preserve">存档面板「导出此档」</x:t>
        </x:is>
      </x:c>
      <x:c r="E32" s="15" t="inlineStr">
        <x:is>
          <x:t xml:space="preserve">导出 → 再导入</x:t>
        </x:is>
      </x:c>
      <x:c r="F32" s="15" t="inlineStr">
        <x:is>
          <x:t xml:space="preserve">下载可再导入；无存档有说明；不含 API Key；导出不改本地档</x:t>
        </x:is>
      </x:c>
      <x:c r="G32" s="15" t="inlineStr">
        <x:is>
          <x:t xml:space="preserve">导出可再导入；不含 API Key（凭据字段显示 [已移除密钥]）；导出不改本地档</x:t>
        </x:is>
      </x:c>
      <x:c r="H32" s="15" t="inlineStr">
        <x:is>
          <x:t xml:space="preserve">记录现象并截图（不含密钥）→ 填入「失败行与回归」表 → 派 Bird/工程修复 → 修复后只重跑本行及相关回归</x:t>
        </x:is>
      </x:c>
      <x:c r="I32" s="10" t="inlineStr">
        <x:is>
          <x:t xml:space="preserve">通过</x:t>
        </x:is>
      </x:c>
      <x:c r="J32" s="10" t="inlineStr">
        <x:is>
          <x:t xml:space="preserve">row-28-export.png</x:t>
        </x:is>
      </x:c>
      <x:c r="K32" s="10" t="inlineStr">
        <x:is>
          <x:t xml:space="preserve">2026-10-02</x:t>
        </x:is>
      </x:c>
    </x:row>
    <x:row r="33">
      <x:c r="A33" s="14" t="n">
        <x:v>29</x:v>
      </x:c>
      <x:c r="B33" s="15" t="inlineStr">
        <x:is>
          <x:t xml:space="preserve">导入导出与恢复</x:t>
        </x:is>
      </x:c>
      <x:c r="C33" s="15" t="inlineStr">
        <x:is>
          <x:t xml:space="preserve">原始恢复备份</x:t>
        </x:is>
      </x:c>
      <x:c r="D33" s="15" t="inlineStr">
        <x:is>
          <x:t xml:space="preserve">存档设置「下载旧档原样备份」</x:t>
        </x:is>
      </x:c>
      <x:c r="E33" s="15" t="inlineStr">
        <x:is>
          <x:t xml:space="preserve">触发下载并比对哈希</x:t>
        </x:is>
      </x:c>
      <x:c r="F33" s="15" t="inlineStr">
        <x:is>
          <x:t xml:space="preserve">原字节下载哈希一致；读取失败提示并停止迁移</x:t>
        </x:is>
      </x:c>
      <x:c r="G33" s="15" t="inlineStr">
        <x:is>
          <x:t xml:space="preserve">旧库原字节备份哈希/逐字一致；迁移后旧局保留；读取失败停止迁移的边界由既有 E2E 覆盖；哈希证据：旧库原文与下载备份 SHA-256 一致（0AF8A45FEB1712D0…）</x:t>
        </x:is>
      </x:c>
      <x:c r="H33" s="15" t="inlineStr">
        <x:is>
          <x:t xml:space="preserve">记录现象并截图（不含密钥）→ 填入「失败行与回归」表 → 派 Bird/工程修复 → 修复后只重跑本行及相关回归</x:t>
        </x:is>
      </x:c>
      <x:c r="I33" s="10" t="inlineStr">
        <x:is>
          <x:t xml:space="preserve">通过</x:t>
        </x:is>
      </x:c>
      <x:c r="J33" s="10" t="inlineStr">
        <x:is>
          <x:t xml:space="preserve">row-29-legacy-backup.png、row-29b-hash.png</x:t>
        </x:is>
      </x:c>
      <x:c r="K33" s="10" t="inlineStr">
        <x:is>
          <x:t xml:space="preserve">2026-10-02</x:t>
        </x:is>
      </x:c>
    </x:row>
    <x:row r="34">
      <x:c r="A34" s="14" t="n">
        <x:v>30</x:v>
      </x:c>
      <x:c r="B34" s="15" t="inlineStr">
        <x:is>
          <x:t xml:space="preserve">冲突与并发</x:t>
        </x:is>
      </x:c>
      <x:c r="C34" s="15" t="inlineStr">
        <x:is>
          <x:t xml:space="preserve">跨标签并发提示</x:t>
        </x:is>
      </x:c>
      <x:c r="D34" s="15" t="inlineStr">
        <x:is>
          <x:t xml:space="preserve">同档开两个标签页</x:t>
        </x:is>
      </x:c>
      <x:c r="E34" s="15" t="inlineStr">
        <x:is>
          <x:t xml:space="preserve">A 标签更新后 B 标签用旧确认</x:t>
        </x:is>
      </x:c>
      <x:c r="F34" s="15" t="inlineStr">
        <x:is>
          <x:t xml:space="preserve">B 的旧确认被拒绝，提示重试/复制；不覆盖另一标签</x:t>
        </x:is>
      </x:c>
      <x:c r="G34" s="15" t="inlineStr">
        <x:is>
          <x:t xml:space="preserve">B 标签旧确认被拒绝，提供「载入最新存档/另存为分支」；两标签行动均保留，互不覆盖（B 模拟错过 storage 事件）</x:t>
        </x:is>
      </x:c>
      <x:c r="H34" s="15" t="inlineStr">
        <x:is>
          <x:t xml:space="preserve">记录现象并截图（不含密钥）→ 填入「失败行与回归」表 → 派 Bird/工程修复 → 修复后只重跑本行及相关回归</x:t>
        </x:is>
      </x:c>
      <x:c r="I34" s="10" t="inlineStr">
        <x:is>
          <x:t xml:space="preserve">通过</x:t>
        </x:is>
      </x:c>
      <x:c r="J34" s="10" t="inlineStr">
        <x:is>
          <x:t xml:space="preserve">row-30-cross-tab-conflict.png</x:t>
        </x:is>
      </x:c>
      <x:c r="K34" s="10" t="inlineStr">
        <x:is>
          <x:t xml:space="preserve">2026-10-02</x:t>
        </x:is>
      </x:c>
    </x:row>
    <x:row r="35">
      <x:c r="A35" s="14" t="n">
        <x:v>31</x:v>
      </x:c>
      <x:c r="B35" s="15" t="inlineStr">
        <x:is>
          <x:t xml:space="preserve">AI 设置</x:t>
        </x:is>
      </x:c>
      <x:c r="C35" s="15" t="inlineStr">
        <x:is>
          <x:t xml:space="preserve">单 AI 旧配置 jx1_config 迁移</x:t>
        </x:is>
      </x:c>
      <x:c r="D35" s="15" t="inlineStr">
        <x:is>
          <x:t xml:space="preserve">/settings/ai 基础模式</x:t>
        </x:is>
      </x:c>
      <x:c r="E35" s="15" t="inlineStr">
        <x:is>
          <x:t xml:space="preserve">打开设置；试非法 URL</x:t>
        </x:is>
      </x:c>
      <x:c r="F35" s="15" t="inlineStr">
        <x:is>
          <x:t xml:space="preserve">地址/密钥/模型/参数可查看修改；非法参数拒绝保存；配置不进存档；密钥仅内存</x:t>
        </x:is>
      </x:c>
      <x:c r="G35" s="15" t="inlineStr">
        <x:is>
          <x:t xml:space="preserve">jx1_config 迁移可发现/读取；地址/模型/参数载入表单；非法 URL 拒绝保存；密钥仅页面内存不写入存档；LYL 手动使用后报告交互缺陷，见失败行 F-01～F-03</x:t>
        </x:is>
      </x:c>
      <x:c r="H35" s="15" t="inlineStr">
        <x:is>
          <x:t xml:space="preserve">记录现象并截图（不含密钥）→ 填入「失败行与回归」表 → 派 Bird/工程修复 → 修复后只重跑本行及相关回归</x:t>
        </x:is>
      </x:c>
      <x:c r="I35" s="10" t="inlineStr">
        <x:is>
          <x:t xml:space="preserve">通过</x:t>
        </x:is>
      </x:c>
      <x:c r="J35" s="10" t="inlineStr">
        <x:is>
          <x:t xml:space="preserve">row-31-legacy-config.png</x:t>
        </x:is>
      </x:c>
      <x:c r="K35" s="10" t="inlineStr">
        <x:is>
          <x:t xml:space="preserve">2026-10-02</x:t>
        </x:is>
      </x:c>
    </x:row>
    <x:row r="36">
      <x:c r="A36" s="14" t="n">
        <x:v>32</x:v>
      </x:c>
      <x:c r="B36" s="15" t="inlineStr">
        <x:is>
          <x:t xml:space="preserve">AI 设置</x:t>
        </x:is>
      </x:c>
      <x:c r="C36" s="15" t="inlineStr">
        <x:is>
          <x:t xml:space="preserve">五岗位 jx_ai_config（主剧情/剧情导演/状态与记忆/世界档案/高级剧情）</x:t>
        </x:is>
      </x:c>
      <x:c r="D36" s="15" t="inlineStr">
        <x:is>
          <x:t xml:space="preserve">/settings/ai 岗位页</x:t>
        </x:is>
      </x:c>
      <x:c r="E36" s="15" t="inlineStr">
        <x:is>
          <x:t xml:space="preserve">逐岗位查看并保存</x:t>
        </x:is>
      </x:c>
      <x:c r="F36" s="15" t="inlineStr">
        <x:is>
          <x:t xml:space="preserve">五岗位开关与参数可保存并重开；缺必填有提示；与游戏档隔离</x:t>
        </x:is>
      </x:c>
      <x:c r="G36" s="15" t="inlineStr">
        <x:is>
          <x:t xml:space="preserve">五岗位面板齐全；岗位开关/参数可保存并重开不丢；密钥不写入配置；见失败行 F-01～F-03</x:t>
        </x:is>
      </x:c>
      <x:c r="H36" s="15" t="inlineStr">
        <x:is>
          <x:t xml:space="preserve">记录现象并截图（不含密钥）→ 填入「失败行与回归」表 → 派 Bird/工程修复 → 修复后只重跑本行及相关回归</x:t>
        </x:is>
      </x:c>
      <x:c r="I36" s="10" t="inlineStr">
        <x:is>
          <x:t xml:space="preserve">通过</x:t>
        </x:is>
      </x:c>
      <x:c r="J36" s="10" t="inlineStr">
        <x:is>
          <x:t xml:space="preserve">row-32-five-roles.png</x:t>
        </x:is>
      </x:c>
      <x:c r="K36" s="10" t="inlineStr">
        <x:is>
          <x:t xml:space="preserve">2026-10-02</x:t>
        </x:is>
      </x:c>
    </x:row>
    <x:row r="37">
      <x:c r="A37" s="14" t="n">
        <x:v>33</x:v>
      </x:c>
      <x:c r="B37" s="15" t="inlineStr">
        <x:is>
          <x:t xml:space="preserve">AI 设置</x:t>
        </x:is>
      </x:c>
      <x:c r="C37" s="15" t="inlineStr">
        <x:is>
          <x:t xml:space="preserve">青鸟推荐</x:t>
        </x:is>
      </x:c>
      <x:c r="D37" s="15" t="inlineStr">
        <x:is>
          <x:t xml:space="preserve">/settings/ai</x:t>
        </x:is>
      </x:c>
      <x:c r="E37" s="15" t="inlineStr">
        <x:is>
          <x:t xml:space="preserve">打开推荐（只看不点应用）</x:t>
        </x:is>
      </x:c>
      <x:c r="F37" s="15" t="inlineStr">
        <x:is>
          <x:t xml:space="preserve">名称为「青鸟推荐」；先看五岗位和成本再主动应用；无可用模型不伪称已连接；不自动改写已存配置</x:t>
        </x:is>
      </x:c>
      <x:c r="G37" s="15" t="inlineStr">
        <x:is>
          <x:t xml:space="preserve">推荐名称「青鸟」档位（疏影 · 省用）；先看五岗位分工与成本预估再主动应用；未点击应用时已存配置不变；见失败行 F-01～F-03</x:t>
        </x:is>
      </x:c>
      <x:c r="H37" s="15" t="inlineStr">
        <x:is>
          <x:t xml:space="preserve">记录现象并截图（不含密钥）→ 填入「失败行与回归」表 → 派 Bird/工程修复 → 修复后只重跑本行及相关回归</x:t>
        </x:is>
      </x:c>
      <x:c r="I37" s="10" t="inlineStr">
        <x:is>
          <x:t xml:space="preserve">通过</x:t>
        </x:is>
      </x:c>
      <x:c r="J37" s="10" t="inlineStr">
        <x:is>
          <x:t xml:space="preserve">row-33-qingniao.png</x:t>
        </x:is>
      </x:c>
      <x:c r="K37" s="10" t="inlineStr">
        <x:is>
          <x:t xml:space="preserve">2026-10-02</x:t>
        </x:is>
      </x:c>
    </x:row>
    <x:row r="38">
      <x:c r="A38" s="14" t="n">
        <x:v>34</x:v>
      </x:c>
      <x:c r="B38" s="15" t="inlineStr">
        <x:is>
          <x:t xml:space="preserve">AI 设置</x:t>
        </x:is>
      </x:c>
      <x:c r="C38" s="15" t="inlineStr">
        <x:is>
          <x:t xml:space="preserve">每岗位参数表</x:t>
        </x:is>
      </x:c>
      <x:c r="D38" s="15" t="inlineStr">
        <x:is>
          <x:t xml:space="preserve">Base URL/Key/Model/Temperature/最大 tokens/超时/档案周期/历史条数</x:t>
        </x:is>
      </x:c>
      <x:c r="E38" s="15" t="inlineStr">
        <x:is>
          <x:t xml:space="preserve">改值 → 刷新 → 重开</x:t>
        </x:is>
      </x:c>
      <x:c r="F38" s="15" t="inlineStr">
        <x:is>
          <x:t xml:space="preserve">编辑值重开不丢；越界即时提示</x:t>
        </x:is>
      </x:c>
      <x:c r="G38" s="15" t="inlineStr">
        <x:is>
          <x:t xml:space="preserve">Temperature/超时编辑后刷新重开不丢；越界输入被即时钳制到允许范围（Temperature 9→2）；见失败行 F-01～F-03</x:t>
        </x:is>
      </x:c>
      <x:c r="H38" s="15" t="inlineStr">
        <x:is>
          <x:t xml:space="preserve">记录现象并截图（不含密钥）→ 填入「失败行与回归」表 → 派 Bird/工程修复 → 修复后只重跑本行及相关回归</x:t>
        </x:is>
      </x:c>
      <x:c r="I38" s="10" t="inlineStr">
        <x:is>
          <x:t xml:space="preserve">通过</x:t>
        </x:is>
      </x:c>
      <x:c r="J38" s="10" t="inlineStr">
        <x:is>
          <x:t xml:space="preserve">row-34-role-params.png</x:t>
        </x:is>
      </x:c>
      <x:c r="K38" s="10" t="inlineStr">
        <x:is>
          <x:t xml:space="preserve">2026-10-02</x:t>
        </x:is>
      </x:c>
    </x:row>
    <x:row r="39">
      <x:c r="A39" s="14" t="n">
        <x:v>35</x:v>
      </x:c>
      <x:c r="B39" s="15" t="inlineStr">
        <x:is>
          <x:t xml:space="preserve">AI 设置</x:t>
        </x:is>
      </x:c>
      <x:c r="C39" s="15" t="inlineStr">
        <x:is>
          <x:t xml:space="preserve">连接测试 testAI</x:t>
        </x:is>
      </x:c>
      <x:c r="D39" s="15" t="inlineStr">
        <x:is>
          <x:t xml:space="preserve">对应岗位「测试连接」</x:t>
        </x:is>
      </x:c>
      <x:c r="E39" s="15" t="inlineStr">
        <x:is>
          <x:t xml:space="preserve">自己的 Key + 1 个模型（详见「真实Key短连接」表）</x:t>
        </x:is>
      </x:c>
      <x:c r="F39" s="15" t="inlineStr">
        <x:is>
          <x:t xml:space="preserve">成功仅在实际响应后显示；超时/HTTP/解析失败指出岗位与重试；不改回合与存档</x:t>
        </x:is>
      </x:c>
      <x:c r="G39" s="15" t="inlineStr">
        <x:is>
          <x:t xml:space="preserve">失败路径已验证：不可达地址与 HTTP 401 均给出岗位错误封套、不回写存档、不泄露密钥；成功路径需 LYL 本机真实 Key（见「真实Key短连接」表，NOT_EXECUTED）；补充实测：挂起连接 5002ms 后真实中止，提示「超过 5 秒，连接已中止」，记录 TIMEOUT 失败；日志无密钥；成功路径已由 LYL 本机自测通过（DeepSeek，延迟 199ms，2026-10-02）</x:t>
        </x:is>
      </x:c>
      <x:c r="H39" s="15" t="inlineStr">
        <x:is>
          <x:t xml:space="preserve">记录现象并截图（不含密钥）→ 填入「失败行与回归」表 → 派 Bird/工程修复 → 修复后只重跑本行及相关回归</x:t>
        </x:is>
      </x:c>
      <x:c r="I39" s="10" t="inlineStr">
        <x:is>
          <x:t xml:space="preserve">通过</x:t>
        </x:is>
      </x:c>
      <x:c r="J39" s="10" t="inlineStr">
        <x:is>
          <x:t xml:space="preserve">row-35-connection-test.png、row-35b-timeout.png、real-key-selftest-LYL</x:t>
        </x:is>
      </x:c>
      <x:c r="K39" s="10" t="inlineStr">
        <x:is>
          <x:t xml:space="preserve">2026-10-02</x:t>
        </x:is>
      </x:c>
    </x:row>
    <x:row r="40">
      <x:c r="A40" s="14" t="n">
        <x:v>36</x:v>
      </x:c>
      <x:c r="B40" s="15" t="inlineStr">
        <x:is>
          <x:t xml:space="preserve">AI 设置</x:t>
        </x:is>
      </x:c>
      <x:c r="C40" s="15" t="inlineStr">
        <x:is>
          <x:t xml:space="preserve">调用记录与 Token</x:t>
        </x:is>
      </x:c>
      <x:c r="D40" s="15" t="inlineStr">
        <x:is>
          <x:t xml:space="preserve">/settings/ai 会话日志</x:t>
        </x:is>
      </x:c>
      <x:c r="E40" s="15" t="inlineStr">
        <x:is>
          <x:t xml:space="preserve">执行连接测试后查看</x:t>
        </x:is>
      </x:c>
      <x:c r="F40" s="15" t="inlineStr">
        <x:is>
          <x:t xml:space="preserve">成败/岗位/耗时/已报告用量可查；不含密钥/私人正文；刷新清理</x:t>
        </x:is>
      </x:c>
      <x:c r="G40" s="15" t="inlineStr">
        <x:is>
          <x:t xml:space="preserve">成败/岗位/耗时/HTTP 状态可查；日志不含密钥与私人正文；仅存当前标签页 sessionStorage（关闭即清）；见失败行 F-01～F-03</x:t>
        </x:is>
      </x:c>
      <x:c r="H40" s="15" t="inlineStr">
        <x:is>
          <x:t xml:space="preserve">记录现象并截图（不含密钥）→ 填入「失败行与回归」表 → 派 Bird/工程修复 → 修复后只重跑本行及相关回归</x:t>
        </x:is>
      </x:c>
      <x:c r="I40" s="10" t="inlineStr">
        <x:is>
          <x:t xml:space="preserve">通过</x:t>
        </x:is>
      </x:c>
      <x:c r="J40" s="10" t="inlineStr">
        <x:is>
          <x:t xml:space="preserve">row-36-call-log.png</x:t>
        </x:is>
      </x:c>
      <x:c r="K40" s="10" t="inlineStr">
        <x:is>
          <x:t xml:space="preserve">2026-10-02</x:t>
        </x:is>
      </x:c>
    </x:row>
    <x:row r="41">
      <x:c r="A41" s="14" t="n">
        <x:v>37</x:v>
      </x:c>
      <x:c r="B41" s="15" t="inlineStr">
        <x:is>
          <x:t xml:space="preserve">回合失败恢复</x:t>
        </x:is>
      </x:c>
      <x:c r="C41" s="15" t="inlineStr">
        <x:is>
          <x:t xml:space="preserve">失败后的 pending、正文草稿与重试</x:t>
        </x:is>
      </x:c>
      <x:c r="D41" s="15" t="inlineStr">
        <x:is>
          <x:t xml:space="preserve">/game/:id 待处理回合卡</x:t>
        </x:is>
      </x:c>
      <x:c r="E41" s="15" t="inlineStr">
        <x:is>
          <x:t xml:space="preserve">刷新页面</x:t>
        </x:is>
      </x:c>
      <x:c r="F41" s="15" t="inlineStr">
        <x:is>
          <x:t xml:space="preserve">待办保留；重试不重复结算；放弃有明确效果</x:t>
        </x:is>
      </x:c>
      <x:c r="G41" s="15" t="inlineStr">
        <x:is>
          <x:t xml:space="preserve">待处理行动刷新后保留；当前候选未接入回合结算（S3 fail closed），不存在重复结算路径；放弃/重试语义随 G-03 规则落地；待办 3 条；提示：见截图</x:t>
        </x:is>
      </x:c>
      <x:c r="H41" s="15" t="inlineStr">
        <x:is>
          <x:t xml:space="preserve">记录现象并截图（不含密钥）→ 填入「失败行与回归」表 → 派 Bird/工程修复 → 修复后只重跑本行及相关回归</x:t>
        </x:is>
      </x:c>
      <x:c r="I41" s="10" t="inlineStr">
        <x:is>
          <x:t xml:space="preserve">通过</x:t>
        </x:is>
      </x:c>
      <x:c r="J41" s="10" t="inlineStr">
        <x:is>
          <x:t xml:space="preserve">row-37-pending-recovery.png</x:t>
        </x:is>
      </x:c>
      <x:c r="K41" s="10" t="inlineStr">
        <x:is>
          <x:t xml:space="preserve">2026-10-02</x:t>
        </x:is>
      </x:c>
    </x:row>
    <x:row r="42">
      <x:c r="A42" s="14" t="n">
        <x:v>38</x:v>
      </x:c>
      <x:c r="B42" s="15" t="inlineStr">
        <x:is>
          <x:t xml:space="preserve">演示与样本</x:t>
        </x:is>
      </x:c>
      <x:c r="C42" s="15" t="inlineStr">
        <x:is>
          <x:t xml:space="preserve">「载入临江仙快照」演示入口</x:t>
        </x:is>
      </x:c>
      <x:c r="D42" s="15" t="inlineStr">
        <x:is>
          <x:t xml:space="preserve">全局查找</x:t>
        </x:is>
      </x:c>
      <x:c r="E42" s="15" t="inlineStr">
        <x:is>
          <x:t xml:space="preserve">查找入口</x:t>
        </x:is>
      </x:c>
      <x:c r="F42" s="15" t="inlineStr">
        <x:is>
          <x:t xml:space="preserve">未裁定公开则不显示假入口（未裁定 → 记「不适用」+备注「待作者裁定」）</x:t>
        </x:is>
      </x:c>
      <x:c r="G42" s="15" t="inlineStr">
        <x:is>
          <x:t xml:space="preserve">「载入临江仙快照」演示入口未公开显示，无假入口；是否符合预期待作者裁定</x:t>
        </x:is>
      </x:c>
      <x:c r="H42" s="15" t="inlineStr">
        <x:is>
          <x:t xml:space="preserve">记录现象并截图（不含密钥）→ 填入「失败行与回归」表 → 派 Bird/工程修复 → 修复后只重跑本行及相关回归</x:t>
        </x:is>
      </x:c>
      <x:c r="I42" s="10" t="inlineStr">
        <x:is>
          <x:t xml:space="preserve">不适用</x:t>
        </x:is>
      </x:c>
      <x:c r="J42" s="10" t="inlineStr">
        <x:is>
          <x:t xml:space="preserve">row-38-snapshot-entry.png</x:t>
        </x:is>
      </x:c>
      <x:c r="K42" s="10" t="inlineStr">
        <x:is>
          <x:t xml:space="preserve">2026-10-02</x:t>
        </x:is>
      </x:c>
    </x:row>
    <x:row r="43">
      <x:c r="A43" s="14" t="n">
        <x:v>39</x:v>
      </x:c>
      <x:c r="B43" s="15" t="inlineStr">
        <x:is>
          <x:t xml:space="preserve">演示与样本</x:t>
        </x:is>
      </x:c>
      <x:c r="C43" s="15" t="inlineStr">
        <x:is>
          <x:t xml:space="preserve">临江仙真实 JSON 导入导出回归（可选）</x:t>
        </x:is>
      </x:c>
      <x:c r="D43" s="15" t="inlineStr">
        <x:is>
          <x:t xml:space="preserve">导入向导</x:t>
        </x:is>
      </x:c>
      <x:c r="E43" s="15" t="inlineStr">
        <x:is>
          <x:t xml:space="preserve">本机真实样本导入 → 导出 → certutil 哈希比对</x:t>
        </x:is>
      </x:c>
      <x:c r="F43" s="15" t="inlineStr">
        <x:is>
          <x:t xml:space="preserve">无回归；导出与源文件字节一致；样本与正文不进 GitHub（首次样本已按 G-02 销账，可跳过）</x:t>
        </x:is>
      </x:c>
      <x:c r="G43" s="15" t="inlineStr">
        <x:is>
          <x:t xml:space="preserve">真实临江仙 JSON 导入→备份逐字节一致→payload 无损→再导出成功；源 SHA-256 C1F4B16EBA886D02…；样本不进 GitHub；候选无回归；哈希证据：导入前备份 SHA-256 与源文件一致（C1F4B16EBA886D02…），逐字节无损</x:t>
        </x:is>
      </x:c>
      <x:c r="H43" s="15" t="inlineStr">
        <x:is>
          <x:t xml:space="preserve">记录现象并截图（不含密钥）→ 填入「失败行与回归」表 → 派 Bird/工程修复 → 修复后只重跑本行及相关回归</x:t>
        </x:is>
      </x:c>
      <x:c r="I43" s="10" t="inlineStr">
        <x:is>
          <x:t xml:space="preserve">通过</x:t>
        </x:is>
      </x:c>
      <x:c r="J43" s="10" t="inlineStr">
        <x:is>
          <x:t xml:space="preserve">row-39-linjiangxian-roundtrip.png、row-39b-hash.png</x:t>
        </x:is>
      </x:c>
      <x:c r="K43" s="10" t="inlineStr">
        <x:is>
          <x:t xml:space="preserve">2026-10-02</x:t>
        </x:is>
      </x:c>
    </x:row>
  </x:sheetData>
  <x:mergeCells>
    <x:mergeCell ref="A2:K2"/>
    <x:mergeCell ref="A1:K1"/>
  </x:mergeCells>
  <x:conditionalFormatting sqref="I5:I43">
    <x:cfRule type="cellIs" dxfId="0" priority="1" operator="equal">
      <x:formula>"失败"</x:formula>
    </x:cfRule>
    <x:cfRule type="cellIs" dxfId="1" priority="2" operator="equal">
      <x:formula>"通过"</x:formula>
    </x:cfRule>
    <x:cfRule type="cellIs" dxfId="2" priority="3" operator="equal">
      <x:formula>"风险接受"</x:formula>
    </x:cfRule>
    <x:cfRule type="cellIs" dxfId="3" priority="4" operator="equal">
      <x:formula>"不适用"</x:formula>
    </x:cfRule>
  </x:conditionalFormatting>
  <x:dataValidations count="1">
    <x:dataValidation type="list" allowBlank="1" showDropDown="0" showInputMessage="0" showErrorMessage="0" sqref="I5:I43">
      <x:formula1>"通过,失败,不适用,风险接受"</x:formula1>
    </x:dataValidation>
  </x:dataValidations>
  <x:pageMargins left="0.7" right="0.7" top="0.75" bottom="0.75" header="0.3" footer="0.3"/>
  <x:legacyDrawing xmlns:r="http://schemas.openxmlformats.org/officeDocument/2006/relationships" r:id="R14e79884091e460f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6" customWidth="1"/>
    <x:col min="2" max="2" width="14" customWidth="1"/>
    <x:col min="3" max="3" width="26" customWidth="1"/>
    <x:col min="4" max="4" width="12" customWidth="1"/>
    <x:col min="5" max="5" width="26" customWidth="1"/>
    <x:col min="6" max="6" width="12" customWidth="1"/>
    <x:col min="7" max="7" width="12" customWidth="1"/>
    <x:col min="8" max="8" width="10" customWidth="1"/>
    <x:col min="9" max="9" width="30" customWidth="1"/>
    <x:col min="10" max="10" width="16" customWidth="1"/>
    <x:col min="11" max="11" width="16" customWidth="1"/>
    <x:col min="12" max="12" width="20" customWidth="1"/>
  </x:cols>
  <x:sheetData>
    <x:row r="1">
      <x:c r="A1" s="12" t="inlineStr">
        <x:is>
          <x:t xml:space="preserve">真实 Key 短连接测试（LYL-01 第 4 步 · 唯一不可替代的人工项）</x:t>
        </x:is>
      </x:c>
    </x:row>
    <x:row r="2">
      <x:c r="A2" s="13" t="inlineStr">
        <x:is>
          <x:t xml:space="preserve">序号</x:t>
        </x:is>
      </x:c>
      <x:c r="B2" s="13" t="inlineStr">
        <x:is>
          <x:t xml:space="preserve">岗位</x:t>
        </x:is>
      </x:c>
      <x:c r="C2" s="13" t="inlineStr">
        <x:is>
          <x:t xml:space="preserve">模型 ID</x:t>
        </x:is>
      </x:c>
      <x:c r="D2" s="13" t="inlineStr">
        <x:is>
          <x:t xml:space="preserve">协议</x:t>
        </x:is>
      </x:c>
      <x:c r="E2" s="13" t="inlineStr">
        <x:is>
          <x:t xml:space="preserve">Base URL（脱敏，仅写域名）</x:t>
        </x:is>
      </x:c>
      <x:c r="F2" s="13" t="inlineStr">
        <x:is>
          <x:t xml:space="preserve">结果状态</x:t>
        </x:is>
      </x:c>
      <x:c r="G2" s="13" t="inlineStr">
        <x:is>
          <x:t xml:space="preserve">HTTP 状态码</x:t>
        </x:is>
      </x:c>
      <x:c r="H2" s="13" t="inlineStr">
        <x:is>
          <x:t xml:space="preserve">延迟 ms</x:t>
        </x:is>
      </x:c>
      <x:c r="I2" s="13" t="inlineStr">
        <x:is>
          <x:t xml:space="preserve">错误摘要</x:t>
        </x:is>
      </x:c>
      <x:c r="J2" s="13" t="inlineStr">
        <x:is>
          <x:t xml:space="preserve">已报告用量 tokens</x:t>
        </x:is>
      </x:c>
      <x:c r="K2" s="13" t="inlineStr">
        <x:is>
          <x:t xml:space="preserve">证据文件名</x:t>
        </x:is>
      </x:c>
      <x:c r="L2" s="13" t="inlineStr">
        <x:is>
          <x:t xml:space="preserve">备注</x:t>
        </x:is>
      </x:c>
    </x:row>
    <x:row r="3" ht="97.19999694824219" hidden="0" customHeight="1">
      <x:c r="A3" s="16" t="n">
        <x:v>1</x:v>
      </x:c>
      <x:c r="B3" s="16" t="inlineStr">
        <x:is>
          <x:t xml:space="preserve">主剧情（LYL 本机自测）</x:t>
        </x:is>
      </x:c>
      <x:c r="C3" s="16" t="inlineStr">
        <x:is>
          <x:t xml:space="preserve">DeepSeek（Model ID 未记录，待 LYL 补注）</x:t>
        </x:is>
      </x:c>
      <x:c r="D3" s="16" t="inlineStr">
        <x:is>
          <x:t xml:space="preserve">OpenAI 兼容</x:t>
        </x:is>
      </x:c>
      <x:c r="E3" s="16" t="inlineStr">
        <x:is>
          <x:t xml:space="preserve">api.deepseek.com</x:t>
        </x:is>
      </x:c>
      <x:c r="F3" s="16" t="inlineStr">
        <x:is>
          <x:t xml:space="preserve">成功</x:t>
        </x:is>
      </x:c>
      <x:c r="G3" s="26" t="str">
        <x:v>未记录（不得由成功推断HTTP码）</x:v>
      </x:c>
      <x:c r="H3" s="26" t="n">
        <x:v>199</x:v>
      </x:c>
      <x:c r="I3" s="16" t="inlineStr">
        <x:is>
          <x:t xml:space="preserve">无（成功）</x:t>
        </x:is>
      </x:c>
      <x:c r="J3" s="16" t="inlineStr">
        <x:is>
          <x:t xml:space="preserve">未记录</x:t>
        </x:is>
      </x:c>
      <x:c r="K3" s="16" t="inlineStr">
        <x:is>
          <x:t xml:space="preserve">LYL 本机自测文字报告（无截图；Key 未给任何协作者或 AI）</x:t>
        </x:is>
      </x:c>
      <x:c r="L3" s="26" t="str">
        <x:v>LYL亲自报告DeepSeek短连接成功、199ms。精确Model ID、HTTP码、用量、构建身份未补充；不推断这些值，不代表五岗位或真实游戏调度通过。自动化TIMEOUT记录是另一测试，保留并区分。Key不提供、不入Git。</x:v>
      </x:c>
    </x:row>
    <x:row r="4">
      <x:c r="A4" s="17" t="n"/>
      <x:c r="B4" s="17" t="n"/>
      <x:c r="C4" s="17" t="n"/>
      <x:c r="D4" s="17" t="n"/>
      <x:c r="E4" s="17" t="n"/>
      <x:c r="F4" s="17" t="n"/>
      <x:c r="G4" s="17" t="n"/>
      <x:c r="H4" s="17" t="n"/>
      <x:c r="I4" s="17" t="n"/>
      <x:c r="J4" s="17" t="n"/>
      <x:c r="K4" s="17" t="n"/>
      <x:c r="L4" s="17" t="n"/>
    </x:row>
    <x:row r="5">
      <x:c r="A5" s="17" t="n"/>
      <x:c r="B5" s="17" t="n"/>
      <x:c r="C5" s="17" t="n"/>
      <x:c r="D5" s="17" t="n"/>
      <x:c r="E5" s="17" t="n"/>
      <x:c r="F5" s="17" t="n"/>
      <x:c r="G5" s="17" t="n"/>
      <x:c r="H5" s="17" t="n"/>
      <x:c r="I5" s="17" t="n"/>
      <x:c r="J5" s="17" t="n"/>
      <x:c r="K5" s="17" t="n"/>
      <x:c r="L5" s="17" t="n"/>
    </x:row>
    <x:row r="6">
      <x:c r="A6" s="17" t="n"/>
      <x:c r="B6" s="17" t="n"/>
      <x:c r="C6" s="17" t="n"/>
      <x:c r="D6" s="17" t="n"/>
      <x:c r="E6" s="17" t="n"/>
      <x:c r="F6" s="17" t="n"/>
      <x:c r="G6" s="17" t="n"/>
      <x:c r="H6" s="17" t="n"/>
      <x:c r="I6" s="17" t="n"/>
      <x:c r="J6" s="17" t="n"/>
      <x:c r="K6" s="17" t="n"/>
      <x:c r="L6" s="17" t="n"/>
    </x:row>
    <x:row r="8" ht="28" customHeight="1">
      <x:c r="A8" s="18" t="inlineStr">
        <x:is>
          <x:t xml:space="preserve">红线：只记录脱敏结果；不截图密钥；不把 Key 发给 Bird 或 Codex；结果状态/模型 ID/延迟/错误摘要四项必填。游戏内生成是否接入按 G-03 处理，不在本步骤签收。</x:t>
        </x:is>
      </x:c>
    </x:row>
  </x:sheetData>
  <x:mergeCells>
    <x:mergeCell ref="A8:L8"/>
    <x:mergeCell ref="A1:L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6" customWidth="1"/>
    <x:col min="2" max="2" width="40" customWidth="1"/>
    <x:col min="3" max="3" width="44" customWidth="1"/>
    <x:col min="4" max="4" width="12" customWidth="1"/>
    <x:col min="5" max="5" width="30" customWidth="1"/>
    <x:col min="6" max="6" width="12" customWidth="1"/>
    <x:col min="7" max="7" width="12" customWidth="1"/>
  </x:cols>
  <x:sheetData>
    <x:row r="1">
      <x:c r="A1" s="13" t="inlineStr">
        <x:is>
          <x:t xml:space="preserve">编号</x:t>
        </x:is>
      </x:c>
      <x:c r="B1" s="13" t="inlineStr">
        <x:is>
          <x:t xml:space="preserve">事项</x:t>
        </x:is>
      </x:c>
      <x:c r="C1" s="13" t="inlineStr">
        <x:is>
          <x:t xml:space="preserve">来源依据</x:t>
        </x:is>
      </x:c>
      <x:c r="D1" s="13" t="inlineStr">
        <x:is>
          <x:t xml:space="preserve">处置（下拉）</x:t>
        </x:is>
      </x:c>
      <x:c r="E1" s="13" t="inlineStr">
        <x:is>
          <x:t xml:space="preserve">理由或去向（填写）</x:t>
        </x:is>
      </x:c>
      <x:c r="F1" s="13" t="inlineStr">
        <x:is>
          <x:t xml:space="preserve">登记人</x:t>
        </x:is>
      </x:c>
      <x:c r="G1" s="13" t="inlineStr">
        <x:is>
          <x:t xml:space="preserve">日期</x:t>
        </x:is>
      </x:c>
    </x:row>
    <x:row r="2" ht="60" hidden="0" customHeight="1">
      <x:c r="A2" s="4" t="n">
        <x:v>1</x:v>
      </x:c>
      <x:c r="B2" s="15" t="inlineStr">
        <x:is>
          <x:t xml:space="preserve">逐按钮/字段唯一行 ID 矩阵未补齐</x:t>
        </x:is>
      </x:c>
      <x:c r="C2" s="15" t="inlineStr">
        <x:is>
          <x:t xml:space="preserve">G-02 行自述（阶段缺口与人工交接清单-2026-09-29，c345a1c 校准版）</x:t>
        </x:is>
      </x:c>
      <x:c r="D2" s="19" t="inlineStr">
        <x:is>
          <x:t xml:space="preserve">风险接受</x:t>
        </x:is>
      </x:c>
      <x:c r="E2" s="27" t="str">
        <x:v>39行初次走查37通过/2不适用；后续LYL另报F-01～05。本轮已修复并局部自动化复测，但逐按钮/字段细矩阵、存储未证边界和独立同构建G1仍归BIRD-01/LYL-01。</x:v>
      </x:c>
      <x:c r="F2" s="19" t="inlineStr">
        <x:is>
          <x:t xml:space="preserve">AI 代理（LYL 授权代填）</x:t>
        </x:is>
      </x:c>
      <x:c r="G2" s="19" t="inlineStr">
        <x:is>
          <x:t xml:space="preserve">2026-10-02</x:t>
        </x:is>
      </x:c>
    </x:row>
    <x:row r="3">
      <x:c r="A3" s="4" t="n">
        <x:v>2</x:v>
      </x:c>
      <x:c r="B3" s="15" t="inlineStr">
        <x:is>
          <x:t xml:space="preserve">等值大档最终持久化未证</x:t>
        </x:is>
      </x:c>
      <x:c r="C3" s="15" t="inlineStr">
        <x:is>
          <x:t xml:space="preserve">G-02 行自述</x:t>
        </x:is>
      </x:c>
      <x:c r="D3" s="19" t="inlineStr">
        <x:is>
          <x:t xml:space="preserve">移交</x:t>
        </x:is>
      </x:c>
      <x:c r="E3" s="19" t="inlineStr">
        <x:is>
          <x:t xml:space="preserve">去向：BIRD-01/工程 E2E 扩充。20 MiB 边界预览/备份已由走查第 27 行验证，最终持久化断言待补。</x:t>
        </x:is>
      </x:c>
      <x:c r="F3" s="19" t="inlineStr">
        <x:is>
          <x:t xml:space="preserve">AI 代理（LYL 授权代填）</x:t>
        </x:is>
      </x:c>
      <x:c r="G3" s="19" t="inlineStr">
        <x:is>
          <x:t xml:space="preserve">2026-10-02</x:t>
        </x:is>
      </x:c>
    </x:row>
    <x:row r="4">
      <x:c r="A4" s="4" t="n">
        <x:v>3</x:v>
      </x:c>
      <x:c r="B4" s="15" t="inlineStr">
        <x:is>
          <x:t xml:space="preserve">浏览器配额耗尽未测</x:t>
        </x:is>
      </x:c>
      <x:c r="C4" s="15" t="inlineStr">
        <x:is>
          <x:t xml:space="preserve">S0 对照文档 2026-09-25 补测边界</x:t>
        </x:is>
      </x:c>
      <x:c r="D4" s="19" t="inlineStr">
        <x:is>
          <x:t xml:space="preserve">移交</x:t>
        </x:is>
      </x:c>
      <x:c r="E4" s="19" t="inlineStr">
        <x:is>
          <x:t xml:space="preserve">去向：工程后续在真实浏览器/设备环境补测；镜像失败告警与保全已由 C-03 回归覆盖。</x:t>
        </x:is>
      </x:c>
      <x:c r="F4" s="19" t="inlineStr">
        <x:is>
          <x:t xml:space="preserve">AI 代理（LYL 授权代填）</x:t>
        </x:is>
      </x:c>
      <x:c r="G4" s="19" t="inlineStr">
        <x:is>
          <x:t xml:space="preserve">2026-10-02</x:t>
        </x:is>
      </x:c>
    </x:row>
    <x:row r="5">
      <x:c r="A5" s="4" t="n">
        <x:v>4</x:v>
      </x:c>
      <x:c r="B5" s="15" t="inlineStr">
        <x:is>
          <x:t xml:space="preserve">强制关闭各时点未全面覆盖</x:t>
        </x:is>
      </x:c>
      <x:c r="C5" s="15" t="inlineStr">
        <x:is>
          <x:t xml:space="preserve">S2 旧功能行为矩阵 仍然开放的验收边界</x:t>
        </x:is>
      </x:c>
      <x:c r="D5" s="19" t="inlineStr">
        <x:is>
          <x:t xml:space="preserve">移交</x:t>
        </x:is>
      </x:c>
      <x:c r="E5" s="19" t="inlineStr">
        <x:is>
          <x:t xml:space="preserve">去向：BIRD-01 与工程崩溃恢复测试；走查已覆盖刷新/往返等常规时点。</x:t>
        </x:is>
      </x:c>
      <x:c r="F5" s="19" t="inlineStr">
        <x:is>
          <x:t xml:space="preserve">AI 代理（LYL 授权代填）</x:t>
        </x:is>
      </x:c>
      <x:c r="G5" s="19" t="inlineStr">
        <x:is>
          <x:t xml:space="preserve">2026-10-02</x:t>
        </x:is>
      </x:c>
    </x:row>
    <x:row r="6">
      <x:c r="A6" s="4" t="n">
        <x:v>5</x:v>
      </x:c>
      <x:c r="B6" s="15" t="inlineStr">
        <x:is>
          <x:t xml:space="preserve">真机验收</x:t>
        </x:is>
      </x:c>
      <x:c r="C6" s="15" t="inlineStr">
        <x:is>
          <x:t xml:space="preserve">归 G-05（LYL-06 明示不阻断本阶段）</x:t>
        </x:is>
      </x:c>
      <x:c r="D6" s="19" t="inlineStr">
        <x:is>
          <x:t xml:space="preserve">移交</x:t>
        </x:is>
      </x:c>
      <x:c r="E6" s="19" t="inlineStr">
        <x:is>
          <x:t xml:space="preserve">去向：G-05 / LYL-06。须等 S3 可玩候选后进行，LYL-01 明示不阻断本阶段。</x:t>
        </x:is>
      </x:c>
      <x:c r="F6" s="19" t="inlineStr">
        <x:is>
          <x:t xml:space="preserve">AI 代理（LYL 授权代填）</x:t>
        </x:is>
      </x:c>
      <x:c r="G6" s="19" t="inlineStr">
        <x:is>
          <x:t xml:space="preserve">2026-10-02</x:t>
        </x:is>
      </x:c>
    </x:row>
    <x:row r="7" ht="48" hidden="0" customHeight="1">
      <x:c r="A7" s="4" t="n">
        <x:v>6</x:v>
      </x:c>
      <x:c r="B7" s="28" t="str">
        <x:v>LYL-07目录覆盖与价格口径已裁定</x:v>
      </x:c>
      <x:c r="C7" s="15" t="inlineStr">
        <x:is>
          <x:t xml:space="preserve">G-08 产品范围项（LYL 本人决策）</x:t>
        </x:is>
      </x:c>
      <x:c r="D7" s="27" t="str">
        <x:v>已完成</x:v>
      </x:c>
      <x:c r="E7" s="27" t="str">
        <x:v>全缺口表LYL-07页：25家有限范围、账号/区域自查、官方快照/核验日期/来源，静态90天期限。产品决定销账；工程来源/时效任务仍在G-08/BIRD-07。</x:v>
      </x:c>
      <x:c r="F7" s="19" t="inlineStr">
        <x:is>
          <x:t xml:space="preserve">AI 代理（LYL 授权代填）</x:t>
        </x:is>
      </x:c>
      <x:c r="G7" s="19" t="inlineStr">
        <x:is>
          <x:t xml:space="preserve">2026-10-02</x:t>
        </x:is>
      </x:c>
    </x:row>
    <x:row r="8" ht="60" hidden="0" customHeight="1">
      <x:c r="A8" s="4" t="n">
        <x:v>7</x:v>
      </x:c>
      <x:c r="B8" s="28" t="str">
        <x:v>LYL-08配置必需/延期/不纳入已裁定</x:v>
      </x:c>
      <x:c r="C8" s="15" t="inlineStr">
        <x:is>
          <x:t xml:space="preserve">G-09 产品范围项（LYL 本人决策）</x:t>
        </x:is>
      </x:c>
      <x:c r="D8" s="27" t="str">
        <x:v>已完成</x:v>
      </x:c>
      <x:c r="E8" s="27" t="str">
        <x:v>全缺口表LYL-08页已缩定范围；必需核心/探针和UI，生成参数草案延期，高风险项不纳入本版。决定销账；获准游戏消费者仍在G-09/BIRD-08，不重复问作者范围。</x:v>
      </x:c>
      <x:c r="F8" s="19" t="inlineStr">
        <x:is>
          <x:t xml:space="preserve">AI 代理（LYL 授权代填）</x:t>
        </x:is>
      </x:c>
      <x:c r="G8" s="19" t="inlineStr">
        <x:is>
          <x:t xml:space="preserve">2026-10-02</x:t>
        </x:is>
      </x:c>
    </x:row>
    <x:row r="9">
      <x:c r="A9" s="4" t="n">
        <x:v>8</x:v>
      </x:c>
      <x:c r="B9" s="15" t="inlineStr">
        <x:is>
          <x:t xml:space="preserve">游戏内生成未接入</x:t>
        </x:is>
      </x:c>
      <x:c r="C9" s="15" t="inlineStr">
        <x:is>
          <x:t xml:space="preserve">G-03（LYL-01 第 4 步明示不在本步骤签收）</x:t>
        </x:is>
      </x:c>
      <x:c r="D9" s="19" t="inlineStr">
        <x:is>
          <x:t xml:space="preserve">移交</x:t>
        </x:is>
      </x:c>
      <x:c r="E9" s="19" t="inlineStr">
        <x:is>
          <x:t xml:space="preserve">去向：G-03。游戏内生成未接入属预期；真实 Key 短连接成功路径另见本表第 10 行。</x:t>
        </x:is>
      </x:c>
      <x:c r="F9" s="19" t="inlineStr">
        <x:is>
          <x:t xml:space="preserve">AI 代理（LYL 授权代填）</x:t>
        </x:is>
      </x:c>
      <x:c r="G9" s="19" t="inlineStr">
        <x:is>
          <x:t xml:space="preserve">2026-10-02</x:t>
        </x:is>
      </x:c>
    </x:row>
    <x:row r="10" ht="66" hidden="0" customHeight="1">
      <x:c r="A10" t="inlineStr">
        <x:is>
          <x:t xml:space="preserve">9</x:t>
        </x:is>
      </x:c>
      <x:c r="B10" s="29" t="str">
        <x:v>真实Key短连接成功已由LYL报告</x:v>
      </x:c>
      <x:c r="C10" t="inlineStr">
        <x:is>
          <x:t xml:space="preserve">LYL-01 第 4 步（唯一不可替代人工项）</x:t>
        </x:is>
      </x:c>
      <x:c r="D10" t="inlineStr">
        <x:is>
          <x:t xml:space="preserve">已完成</x:t>
        </x:is>
      </x:c>
      <x:c r="E10" s="29" t="str">
        <x:v>LYL自测DeepSeek成功199ms已采纳；Model ID/HTTP/用量/构建未记录。关闭“尚未自测”待办，不称真实调度或五岗位全流程闭环。</x:v>
      </x:c>
      <x:c r="F10" t="inlineStr">
        <x:is>
          <x:t xml:space="preserve">AI 代理（LYL 授权代填）</x:t>
        </x:is>
      </x:c>
      <x:c r="G10" t="inlineStr">
        <x:is>
          <x:t xml:space="preserve">2026-10-02</x:t>
        </x:is>
      </x:c>
    </x:row>
    <x:row r="11">
      <x:c r="A11" s="2" t="inlineStr">
        <x:is>
          <x:t xml:space="preserve">规则：选「风险接受」必须写明理由与影响面；「待办/移交」写明去向。此表随 G1 记录一并归档。</x:t>
        </x:is>
      </x:c>
    </x:row>
  </x:sheetData>
  <x:mergeCells>
    <x:mergeCell ref="A11:G11"/>
  </x:mergeCells>
  <x:dataValidations count="1">
    <x:dataValidation type="list" allowBlank="1" showDropDown="0" showInputMessage="0" showErrorMessage="0" sqref="D2:D9">
      <x:formula1>"风险接受,待办,移交"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2" customWidth="1"/>
    <x:col min="3" max="3" width="36" customWidth="1"/>
    <x:col min="4" max="4" width="16" customWidth="1"/>
    <x:col min="5" max="5" width="12" customWidth="1"/>
    <x:col min="6" max="6" width="42" customWidth="1"/>
    <x:col min="7" max="7" width="12" customWidth="1"/>
    <x:col min="8" max="8" width="12" customWidth="1"/>
    <x:col min="9" max="9" width="24" customWidth="1"/>
  </x:cols>
  <x:sheetData>
    <x:row r="1">
      <x:c r="A1" s="13" t="inlineStr">
        <x:is>
          <x:t xml:space="preserve">失败行编号</x:t>
        </x:is>
      </x:c>
      <x:c r="B1" s="13" t="inlineStr">
        <x:is>
          <x:t xml:space="preserve">关联走查行编号</x:t>
        </x:is>
      </x:c>
      <x:c r="C1" s="13" t="inlineStr">
        <x:is>
          <x:t xml:space="preserve">问题描述</x:t>
        </x:is>
      </x:c>
      <x:c r="D1" s="13" t="inlineStr">
        <x:is>
          <x:t xml:space="preserve">证据文件名</x:t>
        </x:is>
      </x:c>
      <x:c r="E1" s="13" t="inlineStr">
        <x:is>
          <x:t xml:space="preserve">派给</x:t>
        </x:is>
      </x:c>
      <x:c r="F1" s="13" t="inlineStr">
        <x:is>
          <x:t xml:space="preserve">修复提交 SHA（新候选）</x:t>
        </x:is>
      </x:c>
      <x:c r="G1" s="13" t="inlineStr">
        <x:is>
          <x:t xml:space="preserve">重跑结果</x:t>
        </x:is>
      </x:c>
      <x:c r="H1" s="13" t="inlineStr">
        <x:is>
          <x:t xml:space="preserve">重跑日期</x:t>
        </x:is>
      </x:c>
      <x:c r="I1" s="13" t="inlineStr">
        <x:is>
          <x:t xml:space="preserve">备注</x:t>
        </x:is>
      </x:c>
    </x:row>
    <x:row r="2" ht="210" hidden="0" customHeight="1">
      <x:c r="A2" s="17" t="inlineStr">
        <x:is>
          <x:t xml:space="preserve">F-01</x:t>
        </x:is>
      </x:c>
      <x:c r="B2" s="17" t="inlineStr">
        <x:is>
          <x:t xml:space="preserve">31–36</x:t>
        </x:is>
      </x:c>
      <x:c r="C2" s="17" t="inlineStr">
        <x:is>
          <x:t xml:space="preserve">AI 设置-连接测试交互：须滚动到页面底部才能勾选「允许连接测试」，顶部岗位面板无法就近开启；测试结果提示出现在页面最底部、顶部看不到；且感知测试速度慢</x:t>
        </x:is>
      </x:c>
      <x:c r="D2" s="17" t="inlineStr">
        <x:is>
          <x:t xml:space="preserve">LYL 手动使用报告</x:t>
        </x:is>
      </x:c>
      <x:c r="E2" s="17" t="inlineStr">
        <x:is>
          <x:t xml:space="preserve">GPT（LYL 指定统一修复）</x:t>
        </x:is>
      </x:c>
      <x:c r="F2" s="30" t="str">
        <x:v>66c0dd250a9603b85986c119e63c59fb49b07bb7</x:v>
      </x:c>
      <x:c r="G2" s="30" t="str">
        <x:v>候选修复/局部自动化通过；待独立同构建签收</x:v>
      </x:c>
      <x:c r="H2" s="30" t="str">
        <x:v>2026-10-02</x:v>
      </x:c>
      <x:c r="I2" s="30" t="str">
        <x:v>全局/岗位就近许可、岗位结果/耗时/取消、固定反馈已加入；未声称改变服务商推理延迟。 补充8fee3cd禁止探针重定向、Cookie与Referer。</x:v>
      </x:c>
    </x:row>
    <x:row r="3" ht="210" hidden="0" customHeight="1">
      <x:c r="A3" s="17" t="inlineStr">
        <x:is>
          <x:t xml:space="preserve">F-02</x:t>
        </x:is>
      </x:c>
      <x:c r="B3" s="17" t="inlineStr">
        <x:is>
          <x:t xml:space="preserve">32/34</x:t>
        </x:is>
      </x:c>
      <x:c r="C3" s="17" t="inlineStr">
        <x:is>
          <x:t xml:space="preserve">保存配置无任何可见的成功/失败提示（实现上有 role=status 消息但位于页面底部，在上方操作时不可见）</x:t>
        </x:is>
      </x:c>
      <x:c r="D3" s="17" t="inlineStr">
        <x:is>
          <x:t xml:space="preserve">LYL 手动使用报告</x:t>
        </x:is>
      </x:c>
      <x:c r="E3" s="17" t="inlineStr">
        <x:is>
          <x:t xml:space="preserve">GPT（LYL 指定统一修复）</x:t>
        </x:is>
      </x:c>
      <x:c r="F3" s="30" t="str">
        <x:v>66c0dd250a9603b85986c119e63c59fb49b07bb7</x:v>
      </x:c>
      <x:c r="G3" s="30" t="str">
        <x:v>候选修复/局部自动化通过；待独立同构建签收</x:v>
      </x:c>
      <x:c r="H3" s="30" t="str">
        <x:v>2026-10-02</x:v>
      </x:c>
      <x:c r="I3" s="30" t="str">
        <x:v>固定可见成功/失败反馈；补充8fee3cd区分配置写入失败与已保存后的日志清理失败，两视口分别注入故障验证；密钥只在页面内存。</x:v>
      </x:c>
    </x:row>
    <x:row r="4" ht="52.79999923706055" hidden="0" customHeight="1">
      <x:c r="A4" s="17" t="inlineStr">
        <x:is>
          <x:t xml:space="preserve">F-03</x:t>
        </x:is>
      </x:c>
      <x:c r="B4" s="17" t="inlineStr">
        <x:is>
          <x:t xml:space="preserve">34/36</x:t>
        </x:is>
      </x:c>
      <x:c r="C4" s="17" t="inlineStr">
        <x:is>
          <x:t xml:space="preserve">滚动到页面最底部后，操作栏「保存配置/调用记录/关闭」三按钮点击无响应，疑似被底部某 UI 组件遮挡（z-index/覆盖）</x:t>
        </x:is>
      </x:c>
      <x:c r="D4" s="17" t="inlineStr">
        <x:is>
          <x:t xml:space="preserve">LYL 手动使用报告</x:t>
        </x:is>
      </x:c>
      <x:c r="E4" s="17" t="inlineStr">
        <x:is>
          <x:t xml:space="preserve">GPT（LYL 指定统一修复）</x:t>
        </x:is>
      </x:c>
      <x:c r="F4" s="30" t="str">
        <x:v>66c0dd250a9603b85986c119e63c59fb49b07bb7</x:v>
      </x:c>
      <x:c r="G4" s="30" t="str">
        <x:v>候选修复/局部自动化通过；待独立同构建签收</x:v>
      </x:c>
      <x:c r="H4" s="30" t="str">
        <x:v>2026-10-02</x:v>
      </x:c>
      <x:c r="I4" s="30" t="str">
        <x:v>操作栏portal移出main层叠上下文；页面绝对底部elementFromPoint三按钮命中+实际点击通过（390/1366）。</x:v>
      </x:c>
    </x:row>
    <x:row r="5" ht="52.79999923706055" hidden="0" customHeight="1">
      <x:c r="A5" s="17" t="inlineStr">
        <x:is>
          <x:t xml:space="preserve">F-04</x:t>
        </x:is>
      </x:c>
      <x:c r="B5" s="17" t="inlineStr">
        <x:is>
          <x:t xml:space="preserve">16–18</x:t>
        </x:is>
      </x:c>
      <x:c r="C5" s="17" t="inlineStr">
        <x:is>
          <x:t xml:space="preserve">角色状态/综合情报/星记忆面板内容以 JSON 原始结构呈现，可读性差（新建档字段多为空时尤甚）</x:t>
        </x:is>
      </x:c>
      <x:c r="D5" s="17" t="inlineStr">
        <x:is>
          <x:t xml:space="preserve">LYL 手动使用报告</x:t>
        </x:is>
      </x:c>
      <x:c r="E5" s="17" t="inlineStr">
        <x:is>
          <x:t xml:space="preserve">GPT（LYL 指定统一修复）</x:t>
        </x:is>
      </x:c>
      <x:c r="F5" s="30" t="str">
        <x:v>66c0dd250a9603b85986c119e63c59fb49b07bb7</x:v>
      </x:c>
      <x:c r="G5" s="30" t="str">
        <x:v>候选修复/局部自动化通过；待独立同构建签收</x:v>
      </x:c>
      <x:c r="H5" s="30" t="str">
        <x:v>2026-10-02</x:v>
      </x:c>
      <x:c r="I5" s="30" t="str">
        <x:v>三面板改字段/段落/列表；未知与0/false区分、转义文本；全树250节点显示预算，存档原文保留。</x:v>
      </x:c>
    </x:row>
    <x:row r="6" ht="66" hidden="0" customHeight="1">
      <x:c r="A6" s="17" t="inlineStr">
        <x:is>
          <x:t xml:space="preserve">F-05</x:t>
        </x:is>
      </x:c>
      <x:c r="B6" s="17" t="inlineStr">
        <x:is>
          <x:t xml:space="preserve">13</x:t>
        </x:is>
      </x:c>
      <x:c r="C6" s="17" t="inlineStr">
        <x:is>
          <x:t xml:space="preserve">世界设定搜索反馈不足：搜「中州」实际已过滤 34→10 条（含中州天枢域及其中州宗门），但无结果计数、无命中高亮、无滚动定位，用户感知「没有变化、像摆设」</x:t>
        </x:is>
      </x:c>
      <x:c r="D6" s="17" t="inlineStr">
        <x:is>
          <x:t xml:space="preserve">issue-search-zhongzhou.png</x:t>
        </x:is>
      </x:c>
      <x:c r="E6" s="17" t="inlineStr">
        <x:is>
          <x:t xml:space="preserve">GPT（LYL 指定统一修复）</x:t>
        </x:is>
      </x:c>
      <x:c r="F6" s="30" t="str">
        <x:v>66c0dd250a9603b85986c119e63c59fb49b07bb7</x:v>
      </x:c>
      <x:c r="G6" s="30" t="str">
        <x:v>候选修复/局部自动化通过；待独立同构建签收</x:v>
      </x:c>
      <x:c r="H6" s="30" t="str">
        <x:v>2026-10-02</x:v>
      </x:c>
      <x:c r="I6" s="30" t="str">
        <x:v>“中州”有计数和字面命中高亮、首条聚焦定位；不存在词0条，清空可返回全集。</x:v>
      </x:c>
    </x:row>
    <x:row r="7" ht="52.79999923706055" hidden="0" customHeight="1">
      <x:c r="A7" s="17" t="inlineStr">
        <x:is>
          <x:t xml:space="preserve">S-01</x:t>
        </x:is>
      </x:c>
      <x:c r="B7" s="17" t="inlineStr">
        <x:is>
          <x:t xml:space="preserve">5–10</x:t>
        </x:is>
      </x:c>
      <x:c r="C7" s="17" t="inlineStr">
        <x:is>
          <x:t xml:space="preserve">优化建议：建角十项提供多方位预设选项库（姓名/性格/身份/天赋等可一键选用），不影响现有自定义创建</x:t>
        </x:is>
      </x:c>
      <x:c r="D7" s="17" t="inlineStr">
        <x:is>
          <x:t xml:space="preserve">LYL 产品建议</x:t>
        </x:is>
      </x:c>
      <x:c r="E7" s="17" t="inlineStr">
        <x:is>
          <x:t xml:space="preserve">GPT（LYL 指定统一修复）</x:t>
        </x:is>
      </x:c>
      <x:c r="F7" s="30" t="str">
        <x:v>66c0dd250a9603b85986c119e63c59fb49b07bb7</x:v>
      </x:c>
      <x:c r="G7" s="30" t="str">
        <x:v>候选修复/局部自动化通过；待独立同构建签收</x:v>
      </x:c>
      <x:c r="H7" s="30" t="str">
        <x:v>2026-10-02</x:v>
      </x:c>
      <x:c r="I7" s="30" t="str">
        <x:v>九类可编辑备选，地域沿用Canon；选择后可手改、天赋最多三项；不是规则授权。</x:v>
      </x:c>
    </x:row>
    <x:row r="8" ht="52.79999923706055" hidden="0" customHeight="1">
      <x:c r="A8" s="17" t="inlineStr">
        <x:is>
          <x:t xml:space="preserve">S-02</x:t>
        </x:is>
      </x:c>
      <x:c r="B8" s="17" t="inlineStr">
        <x:is>
          <x:t xml:space="preserve">32</x:t>
        </x:is>
      </x:c>
      <x:c r="C8" s="17" t="inlineStr">
        <x:is>
          <x:t xml:space="preserve">优化建议：同一 API Key/Model ID/Base URL 一键应用到五个岗位（批量配置），避免逐岗复制粘贴</x:t>
        </x:is>
      </x:c>
      <x:c r="D8" s="17" t="inlineStr">
        <x:is>
          <x:t xml:space="preserve">LYL 产品建议</x:t>
        </x:is>
      </x:c>
      <x:c r="E8" s="17" t="inlineStr">
        <x:is>
          <x:t xml:space="preserve">GPT（LYL 指定统一修复）</x:t>
        </x:is>
      </x:c>
      <x:c r="F8" s="30" t="str">
        <x:v>66c0dd250a9603b85986c119e63c59fb49b07bb7</x:v>
      </x:c>
      <x:c r="G8" s="30" t="str">
        <x:v>候选修复/局部自动化通过；待独立同构建签收</x:v>
      </x:c>
      <x:c r="H8" s="30" t="str">
        <x:v>2026-10-02</x:v>
      </x:c>
      <x:c r="I8" s="30" t="str">
        <x:v>预览后复制协议/地址/型号，可选内存Key；保留开关和生成参数，不自动保存或连接。</x:v>
      </x:c>
    </x:row>
    <x:row r="9" ht="79.19999694824219" hidden="0" customHeight="1">
      <x:c r="A9" s="17" t="inlineStr">
        <x:is>
          <x:t xml:space="preserve">S-03</x:t>
        </x:is>
      </x:c>
      <x:c r="B9" s="17" t="inlineStr">
        <x:is>
          <x:t xml:space="preserve">31/33</x:t>
        </x:is>
      </x:c>
      <x:c r="C9" s="17" t="inlineStr">
        <x:is>
          <x:t xml:space="preserve">优化建议：填好 Base URL/Key 后按服务商自动拉取 Model ID 列表供选择（依赖各服务商模型列表接口；注意 Key 安全与跨域策略）</x:t>
        </x:is>
      </x:c>
      <x:c r="D9" s="17" t="inlineStr">
        <x:is>
          <x:t xml:space="preserve">LYL 产品建议</x:t>
        </x:is>
      </x:c>
      <x:c r="E9" s="17" t="inlineStr">
        <x:is>
          <x:t xml:space="preserve">GPT（LYL 指定统一修复）</x:t>
        </x:is>
      </x:c>
      <x:c r="F9" s="30" t="str">
        <x:v>66c0dd250a9603b85986c119e63c59fb49b07bb7</x:v>
      </x:c>
      <x:c r="G9" s="30" t="str">
        <x:v>候选修复/局部自动化通过；待独立同构建签收</x:v>
      </x:c>
      <x:c r="H9" s="30" t="str">
        <x:v>2026-10-02</x:v>
      </x:c>
      <x:c r="I9" s="30" t="str">
        <x:v>主动读取当前接口型号；OpenAI Chat/Responses、Anthropic、Gemini，后两者分页；CORS/无列表仍可手填，合成接口验证而非真实全厂商验收。</x:v>
      </x:c>
    </x:row>
    <x:row r="10">
      <x:c r="A10" s="17" t="n"/>
      <x:c r="B10" s="17" t="n"/>
      <x:c r="C10" s="17" t="n"/>
      <x:c r="D10" s="17" t="n"/>
      <x:c r="E10" s="17" t="n"/>
      <x:c r="F10" s="17" t="n"/>
      <x:c r="G10" s="17" t="n"/>
      <x:c r="H10" s="17" t="n"/>
      <x:c r="I10" s="17" t="n"/>
    </x:row>
    <x:row r="11" ht="79.19999694824219" hidden="0" customHeight="1">
      <x:c r="A11" s="17" t="inlineStr">
        <x:is>
          <x:t xml:space="preserve">—</x:t>
        </x:is>
      </x:c>
      <x:c r="B11" s="17" t="n"/>
      <x:c r="C11" s="30" t="str">
        <x:v>首轮39行实际37通过/2不适用。F-01～05与S-01～03已实现并通过390/1366视口及Web单测。新修复SHA见F列；新候选须CI产物与局部人工回执，不继承旧39行build hash、不冒名双签。详见docs/九霄1.0作者验收复核-2026-10-02.md。</x:v>
      </x:c>
      <x:c r="D11" s="17" t="n"/>
      <x:c r="E11" s="17" t="n"/>
      <x:c r="F11" s="17" t="n"/>
      <x:c r="G11" s="17" t="n"/>
      <x:c r="H11" s="17" t="n"/>
      <x:c r="I11" s="17" t="inlineStr">
        <x:is>
          <x:t xml:space="preserve">真实 Key 成功路径已由 LYL 本机自测通过（DeepSeek，199ms），见「真实Key短连接」表。</x:t>
        </x:is>
      </x:c>
    </x:row>
    <x:row r="12" ht="260" customHeight="1">
      <x:c r="A12" t="inlineStr">
        <x:is>
          <x:t xml:space="preserve">LYL原话</x:t>
        </x:is>
      </x:c>
      <x:c r="B12" t="inlineStr">
        <x:is>
          <x:t xml:space="preserve">—</x:t>
        </x:is>
      </x:c>
      <x:c r="C12" s="22" t="inlineStr">
        <x:is>
          <x:t xml:space="preserve">真实Key短连接：我自己测试过接deepseek,延迟为199ms。
1.AI设置有很多鸡肋的地方：
①必须要滑到下方勾选“允许连接测试”才可以测试岗位
②测试结果也需要滑到最下方才能看到，并且测试速度很慢。
③我自己定义配置的时候，如果我想将同一个API key，直接配置到5个岗位，我需要复制粘贴API key 、model ID、 base URL，然后一个一个的粘贴
④没有填好BaseURL、API key后，能够点击模型提供后，并自动显示出model ID哪一些，可以供用户选择，而不是用户自己输入module ID的名字。
⑤保存配置没有任何提示是否成功或者失败。
⑥在滑到最底部之后，三个按钮（“保存配置”“调用记录”“关闭”就点不开/点不动了），好像是被底部的某个ui组件覆盖了。
2.①新开一局后，建设角色：
我觉得姓名等每一个设定不仅可以自己编写，然后我们可以提供非常多的多方位全面的固定设置给用户，但是不要影响现有的自定义创建角色
②游戏区面板上的按钮均可以点击，并且均有反馈，都很正常，但是有三个地方有疑问：
为什么“角色状态”“综合情报”“星记忆”点击之后显示的是json格式，不太对劲！
3.世界设定界面的“搜索已审核设定”感觉这个搜索是个摆设，比如说我搜索“中州”，感觉没有什么变化，并不能搜索到关于这一个的特定结果</x:t>
        </x:is>
      </x:c>
      <x:c r="D12" t="inlineStr">
        <x:is>
          <x:t xml:space="preserve">—</x:t>
        </x:is>
      </x:c>
      <x:c r="E12" t="inlineStr">
        <x:is>
          <x:t xml:space="preserve">—</x:t>
        </x:is>
      </x:c>
      <x:c r="G12" t="inlineStr">
        <x:is>
          <x:t xml:space="preserve">—</x:t>
        </x:is>
      </x:c>
      <x:c r="I12" s="22" t="inlineStr">
        <x:is>
          <x:t xml:space="preserve">LYL 2026-10-02 反馈原文存档；F-01～F-05、S-01～S-03 为其结构化拆分，与原话逐条对应（①→F-01，⑤→F-02，⑥→F-03，2②→F-04，3→F-05，2①→S-01，1③→S-02，1④→S-03）</x:t>
        </x:is>
      </x:c>
    </x:row>
    <x:row r="13" ht="28" customHeight="1">
      <x:c r="A13" s="18" t="inlineStr">
        <x:is>
          <x:t xml:space="preserve">规则：失败行派 Bird/工程修复；修复产生新提交时，全部失败行清零后对「新候选 commit + build hash」重签；只重跑受影响行及相关回归，不重做已通过的存档样本。</x:t>
        </x:is>
      </x:c>
    </x:row>
  </x:sheetData>
  <x:mergeCells>
    <x:mergeCell ref="A13:I13"/>
  </x:mergeCells>
  <x:dataValidations count="1">
    <x:dataValidation type="list" allowBlank="1" showDropDown="0" showInputMessage="0" showErrorMessage="0" sqref="G2:G11">
      <x:formula1>"通过,失败,未重跑"</x:formula1>
    </x:dataValidation>
  </x:dataValidations>
  <x:pageMargins left="0.7" right="0.7" top="0.75" bottom="0.75" header="0.3" footer="0.3"/>
</x:worksheet>
</file>